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hidePivotFieldList="1"/>
  <mc:AlternateContent xmlns:mc="http://schemas.openxmlformats.org/markup-compatibility/2006">
    <mc:Choice Requires="x15">
      <x15ac:absPath xmlns:x15ac="http://schemas.microsoft.com/office/spreadsheetml/2010/11/ac" url="/Users/bharatjethwani/Downloads/"/>
    </mc:Choice>
  </mc:AlternateContent>
  <xr:revisionPtr revIDLastSave="0" documentId="8_{1AFBB6EB-9A1A-D74B-84A1-60B30F407419}" xr6:coauthVersionLast="47" xr6:coauthVersionMax="47" xr10:uidLastSave="{00000000-0000-0000-0000-000000000000}"/>
  <bookViews>
    <workbookView xWindow="4420" yWindow="680" windowWidth="17140" windowHeight="16960" firstSheet="1" activeTab="3" xr2:uid="{00000000-000D-0000-FFFF-FFFF00000000}"/>
  </bookViews>
  <sheets>
    <sheet name="Raw Data" sheetId="1" r:id="rId1"/>
    <sheet name="Cleaned Data" sheetId="6" r:id="rId2"/>
    <sheet name="Analysis" sheetId="7" r:id="rId3"/>
    <sheet name="Dashboard" sheetId="5" r:id="rId4"/>
    <sheet name="Project Brief" sheetId="2" r:id="rId5"/>
  </sheets>
  <definedNames>
    <definedName name="_xlnm._FilterDatabase" localSheetId="1" hidden="1">'Cleaned Data'!$A$1:$H$201</definedName>
    <definedName name="_xlnm._FilterDatabase" localSheetId="0" hidden="1">'Raw Data'!$A$1:$H$202</definedName>
    <definedName name="_xlnm.Print_Area" localSheetId="3">Dashboard!$A$1:$N$60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E7" i="5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" i="6"/>
  <c r="K7" i="5"/>
  <c r="D13" i="7"/>
  <c r="D14" i="7"/>
  <c r="D15" i="7"/>
  <c r="D12" i="7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M2" i="6"/>
  <c r="N2" i="6" s="1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" i="6"/>
  <c r="H7" i="5" l="1"/>
</calcChain>
</file>

<file path=xl/sharedStrings.xml><?xml version="1.0" encoding="utf-8"?>
<sst xmlns="http://schemas.openxmlformats.org/spreadsheetml/2006/main" count="1303" uniqueCount="86">
  <si>
    <t>Order ID</t>
  </si>
  <si>
    <t>Date</t>
  </si>
  <si>
    <t>Product</t>
  </si>
  <si>
    <t>Category</t>
  </si>
  <si>
    <t>Region</t>
  </si>
  <si>
    <t>Quantity</t>
  </si>
  <si>
    <t>Unit Price (€)</t>
  </si>
  <si>
    <t>Unit Cost (€)</t>
  </si>
  <si>
    <t>Grip Tape</t>
  </si>
  <si>
    <t>Accessories</t>
  </si>
  <si>
    <t>Madrid</t>
  </si>
  <si>
    <t>Wristband</t>
  </si>
  <si>
    <t>Valencia</t>
  </si>
  <si>
    <t>Premium Racket</t>
  </si>
  <si>
    <t>Equipment</t>
  </si>
  <si>
    <t>Barcelona</t>
  </si>
  <si>
    <t>Padel Racket</t>
  </si>
  <si>
    <t>Padel Bag</t>
  </si>
  <si>
    <t>Padel Balls</t>
  </si>
  <si>
    <t xml:space="preserve"> padel shoes </t>
  </si>
  <si>
    <t>Clothing</t>
  </si>
  <si>
    <t>Seville</t>
  </si>
  <si>
    <t>BARCELONA</t>
  </si>
  <si>
    <t>Padel Shoes</t>
  </si>
  <si>
    <t xml:space="preserve">madrid </t>
  </si>
  <si>
    <t>Padel Shirt</t>
  </si>
  <si>
    <t xml:space="preserve"> padel bag </t>
  </si>
  <si>
    <t>MADRID</t>
  </si>
  <si>
    <t xml:space="preserve">valencia </t>
  </si>
  <si>
    <t xml:space="preserve"> grip tape </t>
  </si>
  <si>
    <t>PADELPRO | BUSINESS ANALYTICS CHALLENGE</t>
  </si>
  <si>
    <t>Independent Excel portfolio exercise | Fictional data</t>
  </si>
  <si>
    <t>Objective</t>
  </si>
  <si>
    <t>Clean sales transactions and build a management dashboard.</t>
  </si>
  <si>
    <t>Data quality</t>
  </si>
  <si>
    <t>Some product and region names are inconsistent; two unit prices are missing; one entire record is duplicated.</t>
  </si>
  <si>
    <t>Critical rule</t>
  </si>
  <si>
    <t>Do not assume missing prices are zero. Flag and resolve or exclude with clear disclosure.</t>
  </si>
  <si>
    <t>Required KPIs</t>
  </si>
  <si>
    <t>Total revenue; total cost; gross profit; gross margin; number of valid orders; units sold.</t>
  </si>
  <si>
    <t>Analysis</t>
  </si>
  <si>
    <t>Revenue and gross profit by region; top five products; monthly sales trend; product/category profitability.</t>
  </si>
  <si>
    <t>Dashboard</t>
  </si>
  <si>
    <t>At least 4 KPI cards, 3 charts, 1 filter/slicer if available, and 3 evidence-based recommendations.</t>
  </si>
  <si>
    <t>Integrity</t>
  </si>
  <si>
    <t>Keep Raw Data unchanged; document all assumptions and exclusions.</t>
  </si>
  <si>
    <t>Definition</t>
  </si>
  <si>
    <t>Gross profit = revenue - quantity * unit cost; gross margin = gross profit / revenue.</t>
  </si>
  <si>
    <t>Portfolio</t>
  </si>
  <si>
    <t>Describe as an independent simulated project, not real client work.</t>
  </si>
  <si>
    <t>Clean Product</t>
  </si>
  <si>
    <t>Clean Region</t>
  </si>
  <si>
    <t>Data Quality Notes</t>
  </si>
  <si>
    <t>Price filled from matching product records.</t>
  </si>
  <si>
    <t>Revenue (€)</t>
  </si>
  <si>
    <t>Total Cost (€)</t>
  </si>
  <si>
    <t>Gross Profit (€)</t>
  </si>
  <si>
    <t>Gross Margin (%)</t>
  </si>
  <si>
    <t>Row Labels</t>
  </si>
  <si>
    <t>Grand Total</t>
  </si>
  <si>
    <t>Sum of Revenue (€)</t>
  </si>
  <si>
    <t>Sum of Gross Profit (€)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</si>
  <si>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</si>
  <si>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</si>
  <si>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</si>
  <si>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</si>
  <si>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</si>
  <si>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</si>
  <si>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</si>
  <si>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</si>
  <si>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</si>
  <si>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PADELPRO | SALES PERFORMANCE DASHBOARD</t>
  </si>
  <si>
    <t>TOTAL REVENUE</t>
  </si>
  <si>
    <t>GROSS PROFIT</t>
  </si>
  <si>
    <t>GROSS MARGIN</t>
  </si>
  <si>
    <t>TOTAL ORDERS</t>
  </si>
  <si>
    <t>KEY BUSINESS INSIGHTS</t>
  </si>
  <si>
    <t>January–September 2026 | 200 Simulated Transactions.</t>
  </si>
  <si>
    <t xml:space="preserve">Regional Performance </t>
  </si>
  <si>
    <t>Valencia leads with €17,710 in revenue (31.74% of total sales) and  €7,862 in gross profit. Further analysis of its product mix could help identify opportunities for growth.</t>
  </si>
  <si>
    <t xml:space="preserve">Product Performance </t>
  </si>
  <si>
    <t>Premium Racket is the top-selling product by revenue (€18,620), contributing 33.37% of total sales. Its profitability and sales volume should be evaluated before increasing inventory.</t>
  </si>
  <si>
    <t xml:space="preserve">Profitabilty and Growth </t>
  </si>
  <si>
    <t>Accessories have the highest gross margin (57.75%), compared with Clothing (48.32%) and Equipment (40.65%). Promotiong accessories alongside higher-value products could be worth testing.</t>
  </si>
  <si>
    <t>ABOUT THIS PROJECT</t>
  </si>
  <si>
    <t xml:space="preserve">Independent Excel analytics project using 200 simulated sales transactions (January-September 2026). Data was cleaned by standardizing names, removing one duplicate, and resolving two missing prices.gross Profit excludes operating expenses and taxes.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</si>
</sst>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€#,##0.00"/>
    <numFmt numFmtId="166" formatCode="&quot;€&quot;#.##00"/>
    <numFmt numFmtId="167" formatCode="&quot;€&quot;##0.00\ 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15344D"/>
      <name val="Calibri"/>
      <family val="2"/>
    </font>
    <font>
      <b/>
      <sz val="20"/>
      <color theme="0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 (Body)"/>
    </font>
    <font>
      <b/>
      <sz val="10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344D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166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0" fillId="4" borderId="0" xfId="0" applyFill="1"/>
    <xf numFmtId="0" fontId="6" fillId="4" borderId="0" xfId="0" applyFont="1" applyFill="1"/>
    <xf numFmtId="0" fontId="0" fillId="5" borderId="0" xfId="0" applyFill="1"/>
    <xf numFmtId="0" fontId="7" fillId="5" borderId="0" xfId="0" applyFont="1" applyFill="1"/>
    <xf numFmtId="167" fontId="8" fillId="5" borderId="0" xfId="0" applyNumberFormat="1" applyFont="1" applyFill="1"/>
    <xf numFmtId="10" fontId="8" fillId="5" borderId="0" xfId="0" applyNumberFormat="1" applyFont="1" applyFill="1"/>
    <xf numFmtId="0" fontId="8" fillId="5" borderId="0" xfId="0" applyFont="1" applyFill="1" applyAlignment="1">
      <alignment horizontal="left"/>
    </xf>
    <xf numFmtId="0" fontId="9" fillId="4" borderId="0" xfId="0" applyFont="1" applyFill="1" applyAlignment="1">
      <alignment wrapText="1"/>
    </xf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0" fillId="4" borderId="0" xfId="0" applyFont="1" applyFill="1" applyAlignment="1">
      <alignment horizontal="left"/>
    </xf>
    <xf numFmtId="0" fontId="14" fillId="4" borderId="0" xfId="0" applyFont="1" applyFill="1"/>
    <xf numFmtId="0" fontId="14" fillId="4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0" fillId="4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[PadelPro_Sales_Analysis.xlsx]Analysis!PivotTable1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</a:t>
            </a:r>
            <a:r>
              <a:rPr lang="en-GB" b="1" baseline="0"/>
              <a:t> by Region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</c:pivotFmt>
      <c:pivotFmt>
        <c:idx val="4"/>
        <c:spPr>
          <a:solidFill>
            <a:schemeClr val="tx2"/>
          </a:solidFill>
          <a:ln>
            <a:noFill/>
          </a:ln>
          <a:effectLst/>
        </c:spPr>
      </c:pivotFmt>
      <c:pivotFmt>
        <c:idx val="5"/>
        <c:spPr>
          <a:solidFill>
            <a:schemeClr val="tx2"/>
          </a:solidFill>
          <a:ln>
            <a:noFill/>
          </a:ln>
          <a:effectLst/>
        </c:spPr>
      </c:pivotFmt>
      <c:pivotFmt>
        <c:idx val="6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8-F244-94EC-D47E32FE723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A8-F244-94EC-D47E32FE723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8-F244-94EC-D47E32FE723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A8-F244-94EC-D47E32FE7239}"/>
              </c:ext>
            </c:extLst>
          </c:dPt>
          <c:cat>
            <c:strRef>
              <c:f>Analysis!$A$4:$A$8</c:f>
              <c:strCache>
                <c:ptCount val="4"/>
                <c:pt idx="0">
                  <c:v>Valencia</c:v>
                </c:pt>
                <c:pt idx="1">
                  <c:v>Barcelona</c:v>
                </c:pt>
                <c:pt idx="2">
                  <c:v>Madrid</c:v>
                </c:pt>
                <c:pt idx="3">
                  <c:v>Seville</c:v>
                </c:pt>
              </c:strCache>
            </c:strRef>
          </c:cat>
          <c:val>
            <c:numRef>
              <c:f>Analysis!$B$4:$B$8</c:f>
              <c:numCache>
                <c:formatCode>"€"#.##00</c:formatCode>
                <c:ptCount val="4"/>
                <c:pt idx="0">
                  <c:v>17710</c:v>
                </c:pt>
                <c:pt idx="1">
                  <c:v>15571</c:v>
                </c:pt>
                <c:pt idx="2">
                  <c:v>11664</c:v>
                </c:pt>
                <c:pt idx="3">
                  <c:v>10850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B-A945-B5C9-5BCD3A9CD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896064"/>
        <c:axId val="451891136"/>
      </c:barChart>
      <c:catAx>
        <c:axId val="45189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451891136"/>
        <c:crosses val="autoZero"/>
        <c:auto val="1"/>
        <c:lblAlgn val="ctr"/>
        <c:lblOffset val="100"/>
        <c:noMultiLvlLbl val="0"/>
      </c:catAx>
      <c:valAx>
        <c:axId val="451891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45189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[PadelPro_Sales_Analysis.xlsx]Analysis!PivotTable4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Top 5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Analysis!$G$4:$G$8</c:f>
              <c:strCache>
                <c:ptCount val="5"/>
                <c:pt idx="0">
                  <c:v>Padel Bag</c:v>
                </c:pt>
                <c:pt idx="1">
                  <c:v>Padel Shirt</c:v>
                </c:pt>
                <c:pt idx="2">
                  <c:v>Padel Racket</c:v>
                </c:pt>
                <c:pt idx="3">
                  <c:v>Padel Shoes</c:v>
                </c:pt>
                <c:pt idx="4">
                  <c:v>Premium Racket</c:v>
                </c:pt>
              </c:strCache>
            </c:strRef>
          </c:cat>
          <c:val>
            <c:numRef>
              <c:f>Analysis!$H$4:$H$8</c:f>
              <c:numCache>
                <c:formatCode>"€"#.##00</c:formatCode>
                <c:ptCount val="5"/>
                <c:pt idx="0">
                  <c:v>4905</c:v>
                </c:pt>
                <c:pt idx="1">
                  <c:v>5600</c:v>
                </c:pt>
                <c:pt idx="2">
                  <c:v>11640</c:v>
                </c:pt>
                <c:pt idx="3">
                  <c:v>12060</c:v>
                </c:pt>
                <c:pt idx="4">
                  <c:v>18620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6-6640-858D-BD132E93B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919872"/>
        <c:axId val="458923008"/>
      </c:barChart>
      <c:catAx>
        <c:axId val="45891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458923008"/>
        <c:crosses val="autoZero"/>
        <c:auto val="1"/>
        <c:lblAlgn val="ctr"/>
        <c:lblOffset val="100"/>
        <c:noMultiLvlLbl val="0"/>
      </c:catAx>
      <c:valAx>
        <c:axId val="458923008"/>
        <c:scaling>
          <c:orientation val="minMax"/>
          <c:max val="200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€&quot;#,##0\ 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15000"/>
              </a:schemeClr>
            </a:solidFill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ES"/>
          </a:p>
        </c:txPr>
        <c:crossAx val="458919872"/>
        <c:crosses val="autoZero"/>
        <c:crossBetween val="between"/>
        <c:majorUnit val="2500"/>
        <c:min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[PadelPro_Sales_Analysis.xlsx]Analysis!PivotTable2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Monthly</a:t>
            </a:r>
            <a:r>
              <a:rPr lang="en-GB" b="1" baseline="0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C7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7C7C"/>
            </a:solidFill>
            <a:round/>
          </a:ln>
          <a:effectLst/>
        </c:spPr>
        <c:marker>
          <c:symbol val="circle"/>
          <c:size val="4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7C7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6"/>
            <c:marker>
              <c:symbol val="circle"/>
              <c:size val="4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EF9-8C47-857F-48D0360FB3A4}"/>
              </c:ext>
            </c:extLst>
          </c:dPt>
          <c:cat>
            <c:strRef>
              <c:f>Analysis!$G$13:$G$22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Analysis!$H$13:$H$22</c:f>
              <c:numCache>
                <c:formatCode>"€"#.##00</c:formatCode>
                <c:ptCount val="9"/>
                <c:pt idx="0">
                  <c:v>6141</c:v>
                </c:pt>
                <c:pt idx="1">
                  <c:v>6064</c:v>
                </c:pt>
                <c:pt idx="2">
                  <c:v>2431</c:v>
                </c:pt>
                <c:pt idx="3">
                  <c:v>5893</c:v>
                </c:pt>
                <c:pt idx="4">
                  <c:v>5106</c:v>
                </c:pt>
                <c:pt idx="5">
                  <c:v>7760</c:v>
                </c:pt>
                <c:pt idx="6">
                  <c:v>7830</c:v>
                </c:pt>
                <c:pt idx="7">
                  <c:v>4346</c:v>
                </c:pt>
                <c:pt idx="8">
                  <c:v>10224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D-5343-BE3C-FD6D4B86C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515775"/>
        <c:axId val="519043519"/>
      </c:lineChart>
      <c:catAx>
        <c:axId val="5035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19043519"/>
        <c:crosses val="autoZero"/>
        <c:auto val="1"/>
        <c:lblAlgn val="ctr"/>
        <c:lblOffset val="100"/>
        <c:noMultiLvlLbl val="0"/>
      </c:catAx>
      <c:valAx>
        <c:axId val="519043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€&quot;#.#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0351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132906</xdr:colOff>
      <xdr:row>11</xdr:row>
      <xdr:rowOff>14768</xdr:rowOff>
    </xdr:from>
    <xdr:to>
      <xdr:col>7</xdr:col>
      <xdr:colOff>14766</xdr:colOff>
      <xdr:row>25</xdr:row>
      <xdr:rowOff>150912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FB3530-2337-FE41-95ED-B93038909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113731</xdr:colOff>
      <xdr:row>11</xdr:row>
      <xdr:rowOff>37910</xdr:rowOff>
    </xdr:from>
    <xdr:to>
      <xdr:col>14</xdr:col>
      <xdr:colOff>0</xdr:colOff>
      <xdr:row>25</xdr:row>
      <xdr:rowOff>151848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CA608F-172C-D244-82A5-BCB932EEE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102972</xdr:colOff>
      <xdr:row>27</xdr:row>
      <xdr:rowOff>102973</xdr:rowOff>
    </xdr:from>
    <xdr:to>
      <xdr:col>13</xdr:col>
      <xdr:colOff>802105</xdr:colOff>
      <xdr:row>45</xdr:row>
      <xdr:rowOff>66843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4FCAAF-A7E8-1C44-BBF7-CAFD50CD9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Jethwani" refreshedDate="46311.933425462965" createdVersion="8" refreshedVersion="8" minRefreshableVersion="3" recordCount="200" xr:uid="{AB924E7F-41C5-324D-B8B6-D3246CB7D223}">
  <cacheSource type="worksheet">
    <worksheetSource ref="A1:O201" sheet="Cleaned Data"/>
  </cacheSource>
  <cacheFields count="17">
    <cacheField name="Order ID" numFmtId="0">
      <sharedItems containsSemiMixedTypes="0" containsString="0" containsNumber="1" containsInteger="1" minValue="10001" maxValue="10200"/>
    </cacheField>
    <cacheField name="Date" numFmtId="164">
      <sharedItems containsSemiMixedTypes="0" containsNonDate="0" containsDate="1" containsString="0" minDate="2026-01-01T00:00:00" maxDate="2026-10-01T00:00:00" count="145">
        <d v="2026-04-04T00:00:00"/>
        <d v="2026-09-07T00:00:00"/>
        <d v="2026-02-26T00:00:00"/>
        <d v="2026-01-14T00:00:00"/>
        <d v="2026-09-13T00:00:00"/>
        <d v="2026-05-16T00:00:00"/>
        <d v="2026-06-28T00:00:00"/>
        <d v="2026-01-13T00:00:00"/>
        <d v="2026-01-26T00:00:00"/>
        <d v="2026-02-13T00:00:00"/>
        <d v="2026-03-09T00:00:00"/>
        <d v="2026-04-14T00:00:00"/>
        <d v="2026-08-08T00:00:00"/>
        <d v="2026-07-05T00:00:00"/>
        <d v="2026-09-08T00:00:00"/>
        <d v="2026-03-05T00:00:00"/>
        <d v="2026-05-13T00:00:00"/>
        <d v="2026-01-18T00:00:00"/>
        <d v="2026-08-28T00:00:00"/>
        <d v="2026-01-24T00:00:00"/>
        <d v="2026-05-29T00:00:00"/>
        <d v="2026-04-16T00:00:00"/>
        <d v="2026-03-10T00:00:00"/>
        <d v="2026-07-31T00:00:00"/>
        <d v="2026-04-11T00:00:00"/>
        <d v="2026-07-18T00:00:00"/>
        <d v="2026-07-06T00:00:00"/>
        <d v="2026-02-05T00:00:00"/>
        <d v="2026-09-23T00:00:00"/>
        <d v="2026-08-21T00:00:00"/>
        <d v="2026-07-09T00:00:00"/>
        <d v="2026-09-19T00:00:00"/>
        <d v="2026-09-15T00:00:00"/>
        <d v="2026-07-04T00:00:00"/>
        <d v="2026-09-24T00:00:00"/>
        <d v="2026-07-21T00:00:00"/>
        <d v="2026-01-03T00:00:00"/>
        <d v="2026-04-26T00:00:00"/>
        <d v="2026-09-11T00:00:00"/>
        <d v="2026-04-17T00:00:00"/>
        <d v="2026-09-14T00:00:00"/>
        <d v="2026-04-20T00:00:00"/>
        <d v="2026-05-19T00:00:00"/>
        <d v="2026-05-06T00:00:00"/>
        <d v="2026-06-14T00:00:00"/>
        <d v="2026-05-31T00:00:00"/>
        <d v="2026-09-17T00:00:00"/>
        <d v="2026-03-20T00:00:00"/>
        <d v="2026-07-30T00:00:00"/>
        <d v="2026-01-07T00:00:00"/>
        <d v="2026-08-10T00:00:00"/>
        <d v="2026-03-02T00:00:00"/>
        <d v="2026-01-28T00:00:00"/>
        <d v="2026-06-07T00:00:00"/>
        <d v="2026-06-08T00:00:00"/>
        <d v="2026-06-05T00:00:00"/>
        <d v="2026-01-01T00:00:00"/>
        <d v="2026-05-28T00:00:00"/>
        <d v="2026-07-17T00:00:00"/>
        <d v="2026-03-18T00:00:00"/>
        <d v="2026-08-05T00:00:00"/>
        <d v="2026-01-19T00:00:00"/>
        <d v="2026-08-02T00:00:00"/>
        <d v="2026-02-23T00:00:00"/>
        <d v="2026-02-27T00:00:00"/>
        <d v="2026-04-23T00:00:00"/>
        <d v="2026-07-10T00:00:00"/>
        <d v="2026-09-09T00:00:00"/>
        <d v="2026-07-19T00:00:00"/>
        <d v="2026-06-26T00:00:00"/>
        <d v="2026-07-07T00:00:00"/>
        <d v="2026-04-27T00:00:00"/>
        <d v="2026-03-12T00:00:00"/>
        <d v="2026-03-31T00:00:00"/>
        <d v="2026-02-10T00:00:00"/>
        <d v="2026-03-27T00:00:00"/>
        <d v="2026-03-28T00:00:00"/>
        <d v="2026-07-27T00:00:00"/>
        <d v="2026-07-22T00:00:00"/>
        <d v="2026-08-31T00:00:00"/>
        <d v="2026-02-22T00:00:00"/>
        <d v="2026-06-19T00:00:00"/>
        <d v="2026-07-26T00:00:00"/>
        <d v="2026-02-17T00:00:00"/>
        <d v="2026-07-15T00:00:00"/>
        <d v="2026-09-10T00:00:00"/>
        <d v="2026-01-12T00:00:00"/>
        <d v="2026-06-06T00:00:00"/>
        <d v="2026-08-22T00:00:00"/>
        <d v="2026-02-15T00:00:00"/>
        <d v="2026-03-03T00:00:00"/>
        <d v="2026-03-19T00:00:00"/>
        <d v="2026-02-24T00:00:00"/>
        <d v="2026-03-24T00:00:00"/>
        <d v="2026-05-01T00:00:00"/>
        <d v="2026-05-26T00:00:00"/>
        <d v="2026-09-22T00:00:00"/>
        <d v="2026-04-01T00:00:00"/>
        <d v="2026-04-19T00:00:00"/>
        <d v="2026-03-21T00:00:00"/>
        <d v="2026-02-03T00:00:00"/>
        <d v="2026-07-28T00:00:00"/>
        <d v="2026-01-16T00:00:00"/>
        <d v="2026-02-01T00:00:00"/>
        <d v="2026-02-02T00:00:00"/>
        <d v="2026-08-13T00:00:00"/>
        <d v="2026-06-22T00:00:00"/>
        <d v="2026-01-23T00:00:00"/>
        <d v="2026-07-14T00:00:00"/>
        <d v="2026-04-15T00:00:00"/>
        <d v="2026-05-08T00:00:00"/>
        <d v="2026-03-13T00:00:00"/>
        <d v="2026-08-11T00:00:00"/>
        <d v="2026-04-29T00:00:00"/>
        <d v="2026-06-23T00:00:00"/>
        <d v="2026-06-16T00:00:00"/>
        <d v="2026-06-17T00:00:00"/>
        <d v="2026-01-08T00:00:00"/>
        <d v="2026-04-06T00:00:00"/>
        <d v="2026-03-25T00:00:00"/>
        <d v="2026-09-21T00:00:00"/>
        <d v="2026-06-11T00:00:00"/>
        <d v="2026-01-10T00:00:00"/>
        <d v="2026-07-24T00:00:00"/>
        <d v="2026-04-21T00:00:00"/>
        <d v="2026-08-19T00:00:00"/>
        <d v="2026-08-14T00:00:00"/>
        <d v="2026-06-27T00:00:00"/>
        <d v="2026-09-05T00:00:00"/>
        <d v="2026-06-24T00:00:00"/>
        <d v="2026-09-30T00:00:00"/>
        <d v="2026-02-12T00:00:00"/>
        <d v="2026-05-11T00:00:00"/>
        <d v="2026-06-15T00:00:00"/>
        <d v="2026-05-22T00:00:00"/>
        <d v="2026-02-18T00:00:00"/>
        <d v="2026-09-20T00:00:00"/>
        <d v="2026-09-25T00:00:00"/>
        <d v="2026-03-08T00:00:00"/>
        <d v="2026-08-07T00:00:00"/>
        <d v="2026-08-27T00:00:00"/>
        <d v="2026-02-07T00:00:00"/>
        <d v="2026-04-10T00:00:00"/>
        <d v="2026-02-14T00:00:00"/>
        <d v="2026-04-22T00:00:00"/>
      </sharedItems>
      <fieldGroup par="16"/>
    </cacheField>
    <cacheField name="Product" numFmtId="0">
      <sharedItems/>
    </cacheField>
    <cacheField name="Category" numFmtId="0">
      <sharedItems count="3">
        <s v="Accessories"/>
        <s v="Equipment"/>
        <s v="Clothing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 (€)" numFmtId="165">
      <sharedItems containsSemiMixedTypes="0" containsString="0" containsNumber="1" containsInteger="1" minValue="6" maxValue="190"/>
    </cacheField>
    <cacheField name="Unit Cost (€)" numFmtId="165">
      <sharedItems containsSemiMixedTypes="0" containsString="0" containsNumber="1" containsInteger="1" minValue="2" maxValue="112"/>
    </cacheField>
    <cacheField name="Clean Product" numFmtId="0">
      <sharedItems count="8">
        <s v="Grip Tape"/>
        <s v="Wristband"/>
        <s v="Premium Racket"/>
        <s v="Padel Racket"/>
        <s v="Padel Bag"/>
        <s v="Padel Balls"/>
        <s v="Padel Shoes"/>
        <s v="Padel Shirt"/>
      </sharedItems>
    </cacheField>
    <cacheField name="Clean Region" numFmtId="0">
      <sharedItems count="4">
        <s v="Madrid"/>
        <s v="Valencia"/>
        <s v="Barcelona"/>
        <s v="Seville"/>
      </sharedItems>
    </cacheField>
    <cacheField name="Data Quality Notes" numFmtId="0">
      <sharedItems containsBlank="1"/>
    </cacheField>
    <cacheField name="Revenue (€)" numFmtId="166">
      <sharedItems containsSemiMixedTypes="0" containsString="0" containsNumber="1" containsInteger="1" minValue="6" maxValue="1520"/>
    </cacheField>
    <cacheField name="Total Cost (€)" numFmtId="166">
      <sharedItems containsSemiMixedTypes="0" containsString="0" containsNumber="1" containsInteger="1" minValue="2" maxValue="896"/>
    </cacheField>
    <cacheField name="Gross Profit (€)" numFmtId="166">
      <sharedItems containsSemiMixedTypes="0" containsString="0" containsNumber="1" containsInteger="1" minValue="4" maxValue="624"/>
    </cacheField>
    <cacheField name="Gross Margin (%)" numFmtId="10">
      <sharedItems containsSemiMixedTypes="0" containsString="0" containsNumber="1" minValue="0.4" maxValue="0.66666666666666663"/>
    </cacheField>
    <cacheField name="Days (Date)" numFmtId="0" databaseField="0">
      <fieldGroup base="1">
        <rangePr groupBy="days" startDate="2026-01-01T00:00:00" endDate="2026-10-01T00:00:00"/>
        <groupItems count="368">
          <s v="&lt;1/1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0/26"/>
        </groupItems>
      </fieldGroup>
    </cacheField>
    <cacheField name="Months (Date)" numFmtId="0" databaseField="0">
      <fieldGroup base="1">
        <rangePr groupBy="months" startDate="2026-01-01T00:00:00" endDate="2026-10-01T00:00:00"/>
        <groupItems count="14">
          <s v="&lt;1/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0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01"/>
    <x v="0"/>
    <s v="Grip Tape"/>
    <x v="0"/>
    <s v="Madrid"/>
    <n v="8"/>
    <n v="6"/>
    <n v="2"/>
    <x v="0"/>
    <x v="0"/>
    <m/>
    <n v="48"/>
    <n v="16"/>
    <n v="32"/>
    <n v="0.66666666666666663"/>
  </r>
  <r>
    <n v="10002"/>
    <x v="1"/>
    <s v="Wristband"/>
    <x v="0"/>
    <s v="Valencia"/>
    <n v="2"/>
    <n v="12"/>
    <n v="4"/>
    <x v="1"/>
    <x v="1"/>
    <m/>
    <n v="24"/>
    <n v="8"/>
    <n v="16"/>
    <n v="0.66666666666666663"/>
  </r>
  <r>
    <n v="10003"/>
    <x v="2"/>
    <s v="Premium Racket"/>
    <x v="1"/>
    <s v="Barcelona"/>
    <n v="8"/>
    <n v="190"/>
    <n v="112"/>
    <x v="2"/>
    <x v="2"/>
    <m/>
    <n v="1520"/>
    <n v="896"/>
    <n v="624"/>
    <n v="0.41052631578947368"/>
  </r>
  <r>
    <n v="10004"/>
    <x v="3"/>
    <s v="Padel Racket"/>
    <x v="1"/>
    <s v="Valencia"/>
    <n v="7"/>
    <n v="120"/>
    <n v="72"/>
    <x v="3"/>
    <x v="1"/>
    <m/>
    <n v="840"/>
    <n v="504"/>
    <n v="336"/>
    <n v="0.4"/>
  </r>
  <r>
    <n v="10005"/>
    <x v="4"/>
    <s v="Premium Racket"/>
    <x v="1"/>
    <s v="Valencia"/>
    <n v="7"/>
    <n v="190"/>
    <n v="112"/>
    <x v="2"/>
    <x v="1"/>
    <m/>
    <n v="1330"/>
    <n v="784"/>
    <n v="546"/>
    <n v="0.41052631578947368"/>
  </r>
  <r>
    <n v="10006"/>
    <x v="5"/>
    <s v="Premium Racket"/>
    <x v="1"/>
    <s v="Barcelona"/>
    <n v="1"/>
    <n v="190"/>
    <n v="112"/>
    <x v="2"/>
    <x v="2"/>
    <m/>
    <n v="190"/>
    <n v="112"/>
    <n v="78"/>
    <n v="0.41052631578947368"/>
  </r>
  <r>
    <n v="10007"/>
    <x v="6"/>
    <s v="Padel Bag"/>
    <x v="0"/>
    <s v="Madrid"/>
    <n v="8"/>
    <n v="45"/>
    <n v="21"/>
    <x v="4"/>
    <x v="0"/>
    <m/>
    <n v="360"/>
    <n v="168"/>
    <n v="192"/>
    <n v="0.53333333333333333"/>
  </r>
  <r>
    <n v="10008"/>
    <x v="7"/>
    <s v="Grip Tape"/>
    <x v="0"/>
    <s v="Barcelona"/>
    <n v="4"/>
    <n v="6"/>
    <n v="2"/>
    <x v="0"/>
    <x v="2"/>
    <m/>
    <n v="24"/>
    <n v="8"/>
    <n v="16"/>
    <n v="0.66666666666666663"/>
  </r>
  <r>
    <n v="10009"/>
    <x v="8"/>
    <s v="Padel Bag"/>
    <x v="0"/>
    <s v="Valencia"/>
    <n v="5"/>
    <n v="45"/>
    <n v="21"/>
    <x v="4"/>
    <x v="1"/>
    <m/>
    <n v="225"/>
    <n v="105"/>
    <n v="120"/>
    <n v="0.53333333333333333"/>
  </r>
  <r>
    <n v="10010"/>
    <x v="9"/>
    <s v="Padel Bag"/>
    <x v="0"/>
    <s v="Barcelona"/>
    <n v="7"/>
    <n v="45"/>
    <n v="21"/>
    <x v="4"/>
    <x v="2"/>
    <m/>
    <n v="315"/>
    <n v="147"/>
    <n v="168"/>
    <n v="0.53333333333333333"/>
  </r>
  <r>
    <n v="10011"/>
    <x v="10"/>
    <s v="Padel Balls"/>
    <x v="0"/>
    <s v="Madrid"/>
    <n v="4"/>
    <n v="8"/>
    <n v="3"/>
    <x v="5"/>
    <x v="0"/>
    <m/>
    <n v="32"/>
    <n v="12"/>
    <n v="20"/>
    <n v="0.625"/>
  </r>
  <r>
    <n v="10012"/>
    <x v="1"/>
    <s v=" padel shoes "/>
    <x v="2"/>
    <s v="Seville"/>
    <n v="8"/>
    <n v="90"/>
    <n v="49"/>
    <x v="6"/>
    <x v="3"/>
    <m/>
    <n v="720"/>
    <n v="392"/>
    <n v="328"/>
    <n v="0.45555555555555555"/>
  </r>
  <r>
    <n v="10013"/>
    <x v="11"/>
    <s v="Padel Bag"/>
    <x v="0"/>
    <s v="Valencia"/>
    <n v="5"/>
    <n v="45"/>
    <n v="21"/>
    <x v="4"/>
    <x v="1"/>
    <m/>
    <n v="225"/>
    <n v="105"/>
    <n v="120"/>
    <n v="0.53333333333333333"/>
  </r>
  <r>
    <n v="10014"/>
    <x v="12"/>
    <s v="Padel Racket"/>
    <x v="1"/>
    <s v="Seville"/>
    <n v="2"/>
    <n v="120"/>
    <n v="72"/>
    <x v="3"/>
    <x v="3"/>
    <m/>
    <n v="240"/>
    <n v="144"/>
    <n v="96"/>
    <n v="0.4"/>
  </r>
  <r>
    <n v="10015"/>
    <x v="13"/>
    <s v="Premium Racket"/>
    <x v="1"/>
    <s v="Madrid"/>
    <n v="2"/>
    <n v="190"/>
    <n v="112"/>
    <x v="2"/>
    <x v="0"/>
    <m/>
    <n v="380"/>
    <n v="224"/>
    <n v="156"/>
    <n v="0.41052631578947368"/>
  </r>
  <r>
    <n v="10016"/>
    <x v="14"/>
    <s v="Premium Racket"/>
    <x v="1"/>
    <s v="Barcelona"/>
    <n v="6"/>
    <n v="190"/>
    <n v="112"/>
    <x v="2"/>
    <x v="2"/>
    <m/>
    <n v="1140"/>
    <n v="672"/>
    <n v="468"/>
    <n v="0.41052631578947368"/>
  </r>
  <r>
    <n v="10017"/>
    <x v="15"/>
    <s v="Padel Balls"/>
    <x v="0"/>
    <s v="Barcelona"/>
    <n v="4"/>
    <n v="8"/>
    <n v="3"/>
    <x v="5"/>
    <x v="2"/>
    <m/>
    <n v="32"/>
    <n v="12"/>
    <n v="20"/>
    <n v="0.625"/>
  </r>
  <r>
    <n v="10018"/>
    <x v="16"/>
    <s v="Grip Tape"/>
    <x v="0"/>
    <s v="Seville"/>
    <n v="7"/>
    <n v="6"/>
    <n v="2"/>
    <x v="0"/>
    <x v="3"/>
    <m/>
    <n v="42"/>
    <n v="14"/>
    <n v="28"/>
    <n v="0.66666666666666663"/>
  </r>
  <r>
    <n v="10019"/>
    <x v="17"/>
    <s v="Premium Racket"/>
    <x v="1"/>
    <s v="Madrid"/>
    <n v="8"/>
    <n v="190"/>
    <n v="112"/>
    <x v="2"/>
    <x v="0"/>
    <m/>
    <n v="1520"/>
    <n v="896"/>
    <n v="624"/>
    <n v="0.41052631578947368"/>
  </r>
  <r>
    <n v="10020"/>
    <x v="18"/>
    <s v="Padel Balls"/>
    <x v="0"/>
    <s v="Madrid"/>
    <n v="5"/>
    <n v="8"/>
    <n v="3"/>
    <x v="5"/>
    <x v="0"/>
    <m/>
    <n v="40"/>
    <n v="15"/>
    <n v="25"/>
    <n v="0.625"/>
  </r>
  <r>
    <n v="10021"/>
    <x v="19"/>
    <s v="Padel Balls"/>
    <x v="0"/>
    <s v="Barcelona"/>
    <n v="6"/>
    <n v="8"/>
    <n v="3"/>
    <x v="5"/>
    <x v="2"/>
    <m/>
    <n v="48"/>
    <n v="18"/>
    <n v="30"/>
    <n v="0.625"/>
  </r>
  <r>
    <n v="10022"/>
    <x v="20"/>
    <s v="Padel Bag"/>
    <x v="0"/>
    <s v="Madrid"/>
    <n v="1"/>
    <n v="45"/>
    <n v="21"/>
    <x v="4"/>
    <x v="0"/>
    <m/>
    <n v="45"/>
    <n v="21"/>
    <n v="24"/>
    <n v="0.53333333333333333"/>
  </r>
  <r>
    <n v="10023"/>
    <x v="3"/>
    <s v="Padel Bag"/>
    <x v="0"/>
    <s v="Barcelona"/>
    <n v="7"/>
    <n v="45"/>
    <n v="21"/>
    <x v="4"/>
    <x v="2"/>
    <m/>
    <n v="315"/>
    <n v="147"/>
    <n v="168"/>
    <n v="0.53333333333333333"/>
  </r>
  <r>
    <n v="10024"/>
    <x v="21"/>
    <s v="Premium Racket"/>
    <x v="1"/>
    <s v="Barcelona"/>
    <n v="1"/>
    <n v="190"/>
    <n v="112"/>
    <x v="2"/>
    <x v="2"/>
    <m/>
    <n v="190"/>
    <n v="112"/>
    <n v="78"/>
    <n v="0.41052631578947368"/>
  </r>
  <r>
    <n v="10025"/>
    <x v="22"/>
    <s v="Padel Shoes"/>
    <x v="2"/>
    <s v="Barcelona"/>
    <n v="7"/>
    <n v="90"/>
    <n v="49"/>
    <x v="6"/>
    <x v="2"/>
    <m/>
    <n v="630"/>
    <n v="343"/>
    <n v="287"/>
    <n v="0.45555555555555555"/>
  </r>
  <r>
    <n v="10026"/>
    <x v="23"/>
    <s v="Premium Racket"/>
    <x v="1"/>
    <s v="Madrid"/>
    <n v="2"/>
    <n v="190"/>
    <n v="112"/>
    <x v="2"/>
    <x v="0"/>
    <m/>
    <n v="380"/>
    <n v="224"/>
    <n v="156"/>
    <n v="0.41052631578947368"/>
  </r>
  <r>
    <n v="10027"/>
    <x v="24"/>
    <s v="Grip Tape"/>
    <x v="0"/>
    <s v="Seville"/>
    <n v="5"/>
    <n v="6"/>
    <n v="2"/>
    <x v="0"/>
    <x v="3"/>
    <m/>
    <n v="30"/>
    <n v="10"/>
    <n v="20"/>
    <n v="0.66666666666666663"/>
  </r>
  <r>
    <n v="10028"/>
    <x v="22"/>
    <s v="Grip Tape"/>
    <x v="0"/>
    <s v="Seville"/>
    <n v="6"/>
    <n v="6"/>
    <n v="2"/>
    <x v="0"/>
    <x v="3"/>
    <m/>
    <n v="36"/>
    <n v="12"/>
    <n v="24"/>
    <n v="0.66666666666666663"/>
  </r>
  <r>
    <n v="10029"/>
    <x v="25"/>
    <s v="Wristband"/>
    <x v="0"/>
    <s v="Seville"/>
    <n v="8"/>
    <n v="12"/>
    <n v="4"/>
    <x v="1"/>
    <x v="3"/>
    <m/>
    <n v="96"/>
    <n v="32"/>
    <n v="64"/>
    <n v="0.66666666666666663"/>
  </r>
  <r>
    <n v="10030"/>
    <x v="26"/>
    <s v="Padel Shoes"/>
    <x v="2"/>
    <s v="Seville"/>
    <n v="5"/>
    <n v="90"/>
    <n v="49"/>
    <x v="6"/>
    <x v="3"/>
    <m/>
    <n v="450"/>
    <n v="245"/>
    <n v="205"/>
    <n v="0.45555555555555555"/>
  </r>
  <r>
    <n v="10031"/>
    <x v="27"/>
    <s v="Padel Balls"/>
    <x v="0"/>
    <s v="Valencia"/>
    <n v="6"/>
    <n v="8"/>
    <n v="3"/>
    <x v="5"/>
    <x v="1"/>
    <m/>
    <n v="48"/>
    <n v="18"/>
    <n v="30"/>
    <n v="0.625"/>
  </r>
  <r>
    <n v="10032"/>
    <x v="28"/>
    <s v="Padel Balls"/>
    <x v="0"/>
    <s v="Seville"/>
    <n v="6"/>
    <n v="8"/>
    <n v="3"/>
    <x v="5"/>
    <x v="3"/>
    <m/>
    <n v="48"/>
    <n v="18"/>
    <n v="30"/>
    <n v="0.625"/>
  </r>
  <r>
    <n v="10033"/>
    <x v="29"/>
    <s v="Padel Balls"/>
    <x v="0"/>
    <s v="Valencia"/>
    <n v="7"/>
    <n v="8"/>
    <n v="3"/>
    <x v="5"/>
    <x v="1"/>
    <m/>
    <n v="56"/>
    <n v="21"/>
    <n v="35"/>
    <n v="0.625"/>
  </r>
  <r>
    <n v="10034"/>
    <x v="19"/>
    <s v="Wristband"/>
    <x v="0"/>
    <s v="Seville"/>
    <n v="1"/>
    <n v="12"/>
    <n v="4"/>
    <x v="1"/>
    <x v="3"/>
    <m/>
    <n v="12"/>
    <n v="4"/>
    <n v="8"/>
    <n v="0.66666666666666663"/>
  </r>
  <r>
    <n v="10035"/>
    <x v="30"/>
    <s v="Padel Bag"/>
    <x v="0"/>
    <s v="madrid "/>
    <n v="1"/>
    <n v="45"/>
    <n v="21"/>
    <x v="4"/>
    <x v="0"/>
    <m/>
    <n v="45"/>
    <n v="21"/>
    <n v="24"/>
    <n v="0.53333333333333333"/>
  </r>
  <r>
    <n v="10036"/>
    <x v="31"/>
    <s v="Padel Bag"/>
    <x v="0"/>
    <s v="Valencia"/>
    <n v="8"/>
    <n v="45"/>
    <n v="21"/>
    <x v="4"/>
    <x v="1"/>
    <m/>
    <n v="360"/>
    <n v="168"/>
    <n v="192"/>
    <n v="0.53333333333333333"/>
  </r>
  <r>
    <n v="10037"/>
    <x v="32"/>
    <s v="Padel Shirt"/>
    <x v="2"/>
    <s v="Madrid"/>
    <n v="1"/>
    <n v="35"/>
    <n v="16"/>
    <x v="7"/>
    <x v="0"/>
    <m/>
    <n v="35"/>
    <n v="16"/>
    <n v="19"/>
    <n v="0.54285714285714282"/>
  </r>
  <r>
    <n v="10038"/>
    <x v="33"/>
    <s v="Wristband"/>
    <x v="0"/>
    <s v="Valencia"/>
    <n v="8"/>
    <n v="12"/>
    <n v="4"/>
    <x v="1"/>
    <x v="1"/>
    <m/>
    <n v="96"/>
    <n v="32"/>
    <n v="64"/>
    <n v="0.66666666666666663"/>
  </r>
  <r>
    <n v="10039"/>
    <x v="34"/>
    <s v="Padel Racket"/>
    <x v="1"/>
    <s v="Madrid"/>
    <n v="6"/>
    <n v="120"/>
    <n v="72"/>
    <x v="3"/>
    <x v="0"/>
    <m/>
    <n v="720"/>
    <n v="432"/>
    <n v="288"/>
    <n v="0.4"/>
  </r>
  <r>
    <n v="10040"/>
    <x v="35"/>
    <s v="Padel Balls"/>
    <x v="0"/>
    <s v="Barcelona"/>
    <n v="8"/>
    <n v="8"/>
    <n v="3"/>
    <x v="5"/>
    <x v="2"/>
    <m/>
    <n v="64"/>
    <n v="24"/>
    <n v="40"/>
    <n v="0.625"/>
  </r>
  <r>
    <n v="10041"/>
    <x v="36"/>
    <s v="Padel Shoes"/>
    <x v="2"/>
    <s v="Barcelona"/>
    <n v="1"/>
    <n v="90"/>
    <n v="49"/>
    <x v="6"/>
    <x v="2"/>
    <m/>
    <n v="90"/>
    <n v="49"/>
    <n v="41"/>
    <n v="0.45555555555555555"/>
  </r>
  <r>
    <n v="10042"/>
    <x v="37"/>
    <s v="Padel Shirt"/>
    <x v="2"/>
    <s v="Madrid"/>
    <n v="7"/>
    <n v="35"/>
    <n v="16"/>
    <x v="7"/>
    <x v="0"/>
    <m/>
    <n v="245"/>
    <n v="112"/>
    <n v="133"/>
    <n v="0.54285714285714282"/>
  </r>
  <r>
    <n v="10043"/>
    <x v="38"/>
    <s v="Padel Balls"/>
    <x v="0"/>
    <s v="Seville"/>
    <n v="2"/>
    <n v="8"/>
    <n v="3"/>
    <x v="5"/>
    <x v="3"/>
    <m/>
    <n v="16"/>
    <n v="6"/>
    <n v="10"/>
    <n v="0.625"/>
  </r>
  <r>
    <n v="10044"/>
    <x v="22"/>
    <s v="Padel Shirt"/>
    <x v="2"/>
    <s v="Seville"/>
    <n v="4"/>
    <n v="35"/>
    <n v="16"/>
    <x v="7"/>
    <x v="3"/>
    <m/>
    <n v="140"/>
    <n v="64"/>
    <n v="76"/>
    <n v="0.54285714285714282"/>
  </r>
  <r>
    <n v="10045"/>
    <x v="39"/>
    <s v="Padel Shirt"/>
    <x v="2"/>
    <s v="Barcelona"/>
    <n v="5"/>
    <n v="35"/>
    <n v="16"/>
    <x v="7"/>
    <x v="2"/>
    <m/>
    <n v="175"/>
    <n v="80"/>
    <n v="95"/>
    <n v="0.54285714285714282"/>
  </r>
  <r>
    <n v="10046"/>
    <x v="40"/>
    <s v=" padel bag "/>
    <x v="0"/>
    <s v="Valencia"/>
    <n v="1"/>
    <n v="45"/>
    <n v="21"/>
    <x v="4"/>
    <x v="1"/>
    <m/>
    <n v="45"/>
    <n v="21"/>
    <n v="24"/>
    <n v="0.53333333333333333"/>
  </r>
  <r>
    <n v="10047"/>
    <x v="41"/>
    <s v="Premium Racket"/>
    <x v="1"/>
    <s v="Barcelona"/>
    <n v="7"/>
    <n v="190"/>
    <n v="112"/>
    <x v="2"/>
    <x v="2"/>
    <m/>
    <n v="1330"/>
    <n v="784"/>
    <n v="546"/>
    <n v="0.41052631578947368"/>
  </r>
  <r>
    <n v="10048"/>
    <x v="42"/>
    <s v="Padel Shoes"/>
    <x v="2"/>
    <s v="Seville"/>
    <n v="7"/>
    <n v="90"/>
    <n v="49"/>
    <x v="6"/>
    <x v="3"/>
    <m/>
    <n v="630"/>
    <n v="343"/>
    <n v="287"/>
    <n v="0.45555555555555555"/>
  </r>
  <r>
    <n v="10049"/>
    <x v="43"/>
    <s v="Padel Bag"/>
    <x v="0"/>
    <s v="Madrid"/>
    <n v="2"/>
    <n v="45"/>
    <n v="21"/>
    <x v="4"/>
    <x v="0"/>
    <m/>
    <n v="90"/>
    <n v="42"/>
    <n v="48"/>
    <n v="0.53333333333333333"/>
  </r>
  <r>
    <n v="10050"/>
    <x v="44"/>
    <s v="Padel Shoes"/>
    <x v="2"/>
    <s v="Barcelona"/>
    <n v="1"/>
    <n v="90"/>
    <n v="49"/>
    <x v="6"/>
    <x v="2"/>
    <m/>
    <n v="90"/>
    <n v="49"/>
    <n v="41"/>
    <n v="0.45555555555555555"/>
  </r>
  <r>
    <n v="10051"/>
    <x v="45"/>
    <s v="Padel Bag"/>
    <x v="0"/>
    <s v="Barcelona"/>
    <n v="2"/>
    <n v="45"/>
    <n v="21"/>
    <x v="4"/>
    <x v="2"/>
    <m/>
    <n v="90"/>
    <n v="42"/>
    <n v="48"/>
    <n v="0.53333333333333333"/>
  </r>
  <r>
    <n v="10052"/>
    <x v="46"/>
    <s v="Premium Racket"/>
    <x v="1"/>
    <s v="Barcelona"/>
    <n v="4"/>
    <n v="190"/>
    <n v="112"/>
    <x v="2"/>
    <x v="2"/>
    <m/>
    <n v="760"/>
    <n v="448"/>
    <n v="312"/>
    <n v="0.41052631578947368"/>
  </r>
  <r>
    <n v="10053"/>
    <x v="47"/>
    <s v="Padel Shirt"/>
    <x v="2"/>
    <s v="Madrid"/>
    <n v="7"/>
    <n v="35"/>
    <n v="16"/>
    <x v="7"/>
    <x v="0"/>
    <m/>
    <n v="245"/>
    <n v="112"/>
    <n v="133"/>
    <n v="0.54285714285714282"/>
  </r>
  <r>
    <n v="10054"/>
    <x v="48"/>
    <s v="Premium Racket"/>
    <x v="1"/>
    <s v="Valencia"/>
    <n v="5"/>
    <n v="190"/>
    <n v="112"/>
    <x v="2"/>
    <x v="1"/>
    <m/>
    <n v="950"/>
    <n v="560"/>
    <n v="390"/>
    <n v="0.41052631578947368"/>
  </r>
  <r>
    <n v="10055"/>
    <x v="49"/>
    <s v="Padel Shoes"/>
    <x v="2"/>
    <s v="Barcelona"/>
    <n v="5"/>
    <n v="90"/>
    <n v="49"/>
    <x v="6"/>
    <x v="2"/>
    <m/>
    <n v="450"/>
    <n v="245"/>
    <n v="205"/>
    <n v="0.45555555555555555"/>
  </r>
  <r>
    <n v="10056"/>
    <x v="50"/>
    <s v="Padel Bag"/>
    <x v="0"/>
    <s v="Seville"/>
    <n v="8"/>
    <n v="45"/>
    <n v="21"/>
    <x v="4"/>
    <x v="3"/>
    <m/>
    <n v="360"/>
    <n v="168"/>
    <n v="192"/>
    <n v="0.53333333333333333"/>
  </r>
  <r>
    <n v="10057"/>
    <x v="51"/>
    <s v="Wristband"/>
    <x v="0"/>
    <s v="Barcelona"/>
    <n v="1"/>
    <n v="12"/>
    <n v="4"/>
    <x v="1"/>
    <x v="2"/>
    <m/>
    <n v="12"/>
    <n v="4"/>
    <n v="8"/>
    <n v="0.66666666666666663"/>
  </r>
  <r>
    <n v="10058"/>
    <x v="52"/>
    <s v="Padel Bag"/>
    <x v="0"/>
    <s v="Madrid"/>
    <n v="2"/>
    <n v="45"/>
    <n v="21"/>
    <x v="4"/>
    <x v="0"/>
    <m/>
    <n v="90"/>
    <n v="42"/>
    <n v="48"/>
    <n v="0.53333333333333333"/>
  </r>
  <r>
    <n v="10059"/>
    <x v="53"/>
    <s v="Padel Shirt"/>
    <x v="2"/>
    <s v="Barcelona"/>
    <n v="5"/>
    <n v="35"/>
    <n v="16"/>
    <x v="7"/>
    <x v="2"/>
    <m/>
    <n v="175"/>
    <n v="80"/>
    <n v="95"/>
    <n v="0.54285714285714282"/>
  </r>
  <r>
    <n v="10060"/>
    <x v="54"/>
    <s v="Padel Racket"/>
    <x v="1"/>
    <s v="Valencia"/>
    <n v="6"/>
    <n v="120"/>
    <n v="72"/>
    <x v="3"/>
    <x v="1"/>
    <m/>
    <n v="720"/>
    <n v="432"/>
    <n v="288"/>
    <n v="0.4"/>
  </r>
  <r>
    <n v="10061"/>
    <x v="55"/>
    <s v="Padel Shirt"/>
    <x v="2"/>
    <s v="Madrid"/>
    <n v="8"/>
    <n v="35"/>
    <n v="16"/>
    <x v="7"/>
    <x v="0"/>
    <m/>
    <n v="280"/>
    <n v="128"/>
    <n v="152"/>
    <n v="0.54285714285714282"/>
  </r>
  <r>
    <n v="10062"/>
    <x v="56"/>
    <s v="Padel Shirt"/>
    <x v="2"/>
    <s v="Valencia"/>
    <n v="6"/>
    <n v="35"/>
    <n v="16"/>
    <x v="7"/>
    <x v="1"/>
    <m/>
    <n v="210"/>
    <n v="96"/>
    <n v="114"/>
    <n v="0.54285714285714282"/>
  </r>
  <r>
    <n v="10063"/>
    <x v="57"/>
    <s v="Padel Shirt"/>
    <x v="2"/>
    <s v="Madrid"/>
    <n v="2"/>
    <n v="35"/>
    <n v="16"/>
    <x v="7"/>
    <x v="0"/>
    <s v="Price filled from matching product records."/>
    <n v="70"/>
    <n v="32"/>
    <n v="38"/>
    <n v="0.54285714285714282"/>
  </r>
  <r>
    <n v="10064"/>
    <x v="58"/>
    <s v="Padel Shoes"/>
    <x v="2"/>
    <s v="Madrid"/>
    <n v="3"/>
    <n v="90"/>
    <n v="49"/>
    <x v="6"/>
    <x v="0"/>
    <m/>
    <n v="270"/>
    <n v="147"/>
    <n v="123"/>
    <n v="0.45555555555555555"/>
  </r>
  <r>
    <n v="10065"/>
    <x v="32"/>
    <s v="Premium Racket"/>
    <x v="1"/>
    <s v="Madrid"/>
    <n v="5"/>
    <n v="190"/>
    <n v="112"/>
    <x v="2"/>
    <x v="0"/>
    <m/>
    <n v="950"/>
    <n v="560"/>
    <n v="390"/>
    <n v="0.41052631578947368"/>
  </r>
  <r>
    <n v="10066"/>
    <x v="59"/>
    <s v="Padel Shirt"/>
    <x v="2"/>
    <s v="Valencia"/>
    <n v="1"/>
    <n v="35"/>
    <n v="16"/>
    <x v="7"/>
    <x v="1"/>
    <m/>
    <n v="35"/>
    <n v="16"/>
    <n v="19"/>
    <n v="0.54285714285714282"/>
  </r>
  <r>
    <n v="10067"/>
    <x v="60"/>
    <s v="Grip Tape"/>
    <x v="0"/>
    <s v="Valencia"/>
    <n v="4"/>
    <n v="6"/>
    <n v="2"/>
    <x v="0"/>
    <x v="1"/>
    <m/>
    <n v="24"/>
    <n v="8"/>
    <n v="16"/>
    <n v="0.66666666666666663"/>
  </r>
  <r>
    <n v="10068"/>
    <x v="61"/>
    <s v="Premium Racket"/>
    <x v="1"/>
    <s v="Barcelona"/>
    <n v="1"/>
    <n v="190"/>
    <n v="112"/>
    <x v="2"/>
    <x v="2"/>
    <m/>
    <n v="190"/>
    <n v="112"/>
    <n v="78"/>
    <n v="0.41052631578947368"/>
  </r>
  <r>
    <n v="10069"/>
    <x v="16"/>
    <s v="Padel Shirt"/>
    <x v="2"/>
    <s v="Valencia"/>
    <n v="7"/>
    <n v="35"/>
    <n v="16"/>
    <x v="7"/>
    <x v="1"/>
    <m/>
    <n v="245"/>
    <n v="112"/>
    <n v="133"/>
    <n v="0.54285714285714282"/>
  </r>
  <r>
    <n v="10070"/>
    <x v="62"/>
    <s v="Grip Tape"/>
    <x v="0"/>
    <s v="Seville"/>
    <n v="4"/>
    <n v="6"/>
    <n v="2"/>
    <x v="0"/>
    <x v="3"/>
    <m/>
    <n v="24"/>
    <n v="8"/>
    <n v="16"/>
    <n v="0.66666666666666663"/>
  </r>
  <r>
    <n v="10071"/>
    <x v="63"/>
    <s v="Premium Racket"/>
    <x v="1"/>
    <s v="Barcelona"/>
    <n v="2"/>
    <n v="190"/>
    <n v="112"/>
    <x v="2"/>
    <x v="2"/>
    <m/>
    <n v="380"/>
    <n v="224"/>
    <n v="156"/>
    <n v="0.41052631578947368"/>
  </r>
  <r>
    <n v="10072"/>
    <x v="64"/>
    <s v="Grip Tape"/>
    <x v="0"/>
    <s v="Barcelona"/>
    <n v="8"/>
    <n v="6"/>
    <n v="2"/>
    <x v="0"/>
    <x v="2"/>
    <m/>
    <n v="48"/>
    <n v="16"/>
    <n v="32"/>
    <n v="0.66666666666666663"/>
  </r>
  <r>
    <n v="10073"/>
    <x v="65"/>
    <s v="Padel Shoes"/>
    <x v="2"/>
    <s v="Seville"/>
    <n v="4"/>
    <n v="90"/>
    <n v="49"/>
    <x v="6"/>
    <x v="3"/>
    <m/>
    <n v="360"/>
    <n v="196"/>
    <n v="164"/>
    <n v="0.45555555555555555"/>
  </r>
  <r>
    <n v="10074"/>
    <x v="66"/>
    <s v="Grip Tape"/>
    <x v="0"/>
    <s v="Madrid"/>
    <n v="4"/>
    <n v="6"/>
    <n v="2"/>
    <x v="0"/>
    <x v="0"/>
    <m/>
    <n v="24"/>
    <n v="8"/>
    <n v="16"/>
    <n v="0.66666666666666663"/>
  </r>
  <r>
    <n v="10075"/>
    <x v="67"/>
    <s v="Padel Shirt"/>
    <x v="2"/>
    <s v="Valencia"/>
    <n v="3"/>
    <n v="35"/>
    <n v="16"/>
    <x v="7"/>
    <x v="1"/>
    <m/>
    <n v="105"/>
    <n v="48"/>
    <n v="57"/>
    <n v="0.54285714285714282"/>
  </r>
  <r>
    <n v="10076"/>
    <x v="68"/>
    <s v="Padel Shirt"/>
    <x v="2"/>
    <s v="Seville"/>
    <n v="4"/>
    <n v="35"/>
    <n v="16"/>
    <x v="7"/>
    <x v="3"/>
    <m/>
    <n v="140"/>
    <n v="64"/>
    <n v="76"/>
    <n v="0.54285714285714282"/>
  </r>
  <r>
    <n v="10077"/>
    <x v="69"/>
    <s v="Padel Shirt"/>
    <x v="2"/>
    <s v="Madrid"/>
    <n v="7"/>
    <n v="35"/>
    <n v="16"/>
    <x v="7"/>
    <x v="0"/>
    <m/>
    <n v="245"/>
    <n v="112"/>
    <n v="133"/>
    <n v="0.54285714285714282"/>
  </r>
  <r>
    <n v="10078"/>
    <x v="39"/>
    <s v="Premium Racket"/>
    <x v="1"/>
    <s v="Valencia"/>
    <n v="5"/>
    <n v="190"/>
    <n v="112"/>
    <x v="2"/>
    <x v="1"/>
    <m/>
    <n v="950"/>
    <n v="560"/>
    <n v="390"/>
    <n v="0.41052631578947368"/>
  </r>
  <r>
    <n v="10079"/>
    <x v="23"/>
    <s v="Wristband"/>
    <x v="0"/>
    <s v="Valencia"/>
    <n v="6"/>
    <n v="12"/>
    <n v="4"/>
    <x v="1"/>
    <x v="1"/>
    <m/>
    <n v="72"/>
    <n v="24"/>
    <n v="48"/>
    <n v="0.66666666666666663"/>
  </r>
  <r>
    <n v="10080"/>
    <x v="70"/>
    <s v="Grip Tape"/>
    <x v="0"/>
    <s v="Madrid"/>
    <n v="4"/>
    <n v="6"/>
    <n v="2"/>
    <x v="0"/>
    <x v="0"/>
    <m/>
    <n v="24"/>
    <n v="8"/>
    <n v="16"/>
    <n v="0.66666666666666663"/>
  </r>
  <r>
    <n v="10081"/>
    <x v="71"/>
    <s v="Padel Shoes"/>
    <x v="2"/>
    <s v="Barcelona"/>
    <n v="3"/>
    <n v="90"/>
    <n v="49"/>
    <x v="6"/>
    <x v="2"/>
    <m/>
    <n v="270"/>
    <n v="147"/>
    <n v="123"/>
    <n v="0.45555555555555555"/>
  </r>
  <r>
    <n v="10082"/>
    <x v="50"/>
    <s v="Padel Shirt"/>
    <x v="2"/>
    <s v="Barcelona"/>
    <n v="8"/>
    <n v="35"/>
    <n v="16"/>
    <x v="7"/>
    <x v="2"/>
    <m/>
    <n v="280"/>
    <n v="128"/>
    <n v="152"/>
    <n v="0.54285714285714282"/>
  </r>
  <r>
    <n v="10083"/>
    <x v="72"/>
    <s v="Wristband"/>
    <x v="0"/>
    <s v="Madrid"/>
    <n v="4"/>
    <n v="12"/>
    <n v="4"/>
    <x v="1"/>
    <x v="0"/>
    <m/>
    <n v="48"/>
    <n v="16"/>
    <n v="32"/>
    <n v="0.66666666666666663"/>
  </r>
  <r>
    <n v="10084"/>
    <x v="73"/>
    <s v="Padel Shoes"/>
    <x v="2"/>
    <s v="Seville"/>
    <n v="1"/>
    <n v="90"/>
    <n v="49"/>
    <x v="6"/>
    <x v="3"/>
    <m/>
    <n v="90"/>
    <n v="49"/>
    <n v="41"/>
    <n v="0.45555555555555555"/>
  </r>
  <r>
    <n v="10085"/>
    <x v="74"/>
    <s v="Padel Shirt"/>
    <x v="2"/>
    <s v="Seville"/>
    <n v="8"/>
    <n v="35"/>
    <n v="16"/>
    <x v="7"/>
    <x v="3"/>
    <m/>
    <n v="280"/>
    <n v="128"/>
    <n v="152"/>
    <n v="0.54285714285714282"/>
  </r>
  <r>
    <n v="10086"/>
    <x v="75"/>
    <s v="Wristband"/>
    <x v="0"/>
    <s v="Valencia"/>
    <n v="2"/>
    <n v="12"/>
    <n v="4"/>
    <x v="1"/>
    <x v="1"/>
    <m/>
    <n v="24"/>
    <n v="8"/>
    <n v="16"/>
    <n v="0.66666666666666663"/>
  </r>
  <r>
    <n v="10087"/>
    <x v="14"/>
    <s v="Padel Shirt"/>
    <x v="2"/>
    <s v="Barcelona"/>
    <n v="7"/>
    <n v="35"/>
    <n v="16"/>
    <x v="7"/>
    <x v="2"/>
    <m/>
    <n v="245"/>
    <n v="112"/>
    <n v="133"/>
    <n v="0.54285714285714282"/>
  </r>
  <r>
    <n v="10088"/>
    <x v="15"/>
    <s v="Grip Tape"/>
    <x v="0"/>
    <s v="Valencia"/>
    <n v="2"/>
    <n v="6"/>
    <n v="2"/>
    <x v="0"/>
    <x v="1"/>
    <m/>
    <n v="12"/>
    <n v="4"/>
    <n v="8"/>
    <n v="0.66666666666666663"/>
  </r>
  <r>
    <n v="10089"/>
    <x v="76"/>
    <s v="Padel Shirt"/>
    <x v="2"/>
    <s v="Seville"/>
    <n v="7"/>
    <n v="35"/>
    <n v="16"/>
    <x v="7"/>
    <x v="3"/>
    <m/>
    <n v="245"/>
    <n v="112"/>
    <n v="133"/>
    <n v="0.54285714285714282"/>
  </r>
  <r>
    <n v="10090"/>
    <x v="77"/>
    <s v=" padel shoes "/>
    <x v="2"/>
    <s v="Valencia"/>
    <n v="3"/>
    <n v="90"/>
    <n v="49"/>
    <x v="6"/>
    <x v="1"/>
    <m/>
    <n v="270"/>
    <n v="147"/>
    <n v="123"/>
    <n v="0.45555555555555555"/>
  </r>
  <r>
    <n v="10091"/>
    <x v="78"/>
    <s v="Padel Balls"/>
    <x v="0"/>
    <s v="Seville"/>
    <n v="4"/>
    <n v="8"/>
    <n v="3"/>
    <x v="5"/>
    <x v="3"/>
    <m/>
    <n v="32"/>
    <n v="12"/>
    <n v="20"/>
    <n v="0.625"/>
  </r>
  <r>
    <n v="10092"/>
    <x v="18"/>
    <s v="Padel Balls"/>
    <x v="0"/>
    <s v="Valencia"/>
    <n v="7"/>
    <n v="8"/>
    <n v="3"/>
    <x v="5"/>
    <x v="1"/>
    <m/>
    <n v="56"/>
    <n v="21"/>
    <n v="35"/>
    <n v="0.625"/>
  </r>
  <r>
    <n v="10093"/>
    <x v="79"/>
    <s v="Padel Shirt"/>
    <x v="2"/>
    <s v="Barcelona"/>
    <n v="7"/>
    <n v="35"/>
    <n v="16"/>
    <x v="7"/>
    <x v="2"/>
    <m/>
    <n v="245"/>
    <n v="112"/>
    <n v="133"/>
    <n v="0.54285714285714282"/>
  </r>
  <r>
    <n v="10094"/>
    <x v="80"/>
    <s v="Padel Balls"/>
    <x v="0"/>
    <s v="Valencia"/>
    <n v="2"/>
    <n v="8"/>
    <n v="3"/>
    <x v="5"/>
    <x v="1"/>
    <m/>
    <n v="16"/>
    <n v="6"/>
    <n v="10"/>
    <n v="0.625"/>
  </r>
  <r>
    <n v="10095"/>
    <x v="81"/>
    <s v="Padel Racket"/>
    <x v="1"/>
    <s v="Seville"/>
    <n v="8"/>
    <n v="120"/>
    <n v="72"/>
    <x v="3"/>
    <x v="3"/>
    <m/>
    <n v="960"/>
    <n v="576"/>
    <n v="384"/>
    <n v="0.4"/>
  </r>
  <r>
    <n v="10096"/>
    <x v="48"/>
    <s v="Padel Shoes"/>
    <x v="2"/>
    <s v="Madrid"/>
    <n v="4"/>
    <n v="90"/>
    <n v="49"/>
    <x v="6"/>
    <x v="0"/>
    <m/>
    <n v="360"/>
    <n v="196"/>
    <n v="164"/>
    <n v="0.45555555555555555"/>
  </r>
  <r>
    <n v="10097"/>
    <x v="82"/>
    <s v="Padel Balls"/>
    <x v="0"/>
    <s v="Valencia"/>
    <n v="6"/>
    <n v="8"/>
    <n v="3"/>
    <x v="5"/>
    <x v="1"/>
    <m/>
    <n v="48"/>
    <n v="18"/>
    <n v="30"/>
    <n v="0.625"/>
  </r>
  <r>
    <n v="10098"/>
    <x v="83"/>
    <s v="Padel Shoes"/>
    <x v="2"/>
    <s v="Seville"/>
    <n v="5"/>
    <n v="90"/>
    <n v="49"/>
    <x v="6"/>
    <x v="3"/>
    <m/>
    <n v="450"/>
    <n v="245"/>
    <n v="205"/>
    <n v="0.45555555555555555"/>
  </r>
  <r>
    <n v="10099"/>
    <x v="84"/>
    <s v="Wristband"/>
    <x v="0"/>
    <s v="Seville"/>
    <n v="8"/>
    <n v="12"/>
    <n v="4"/>
    <x v="1"/>
    <x v="3"/>
    <m/>
    <n v="96"/>
    <n v="32"/>
    <n v="64"/>
    <n v="0.66666666666666663"/>
  </r>
  <r>
    <n v="10100"/>
    <x v="85"/>
    <s v="Padel Racket"/>
    <x v="1"/>
    <s v="Valencia"/>
    <n v="1"/>
    <n v="120"/>
    <n v="72"/>
    <x v="3"/>
    <x v="1"/>
    <m/>
    <n v="120"/>
    <n v="72"/>
    <n v="48"/>
    <n v="0.4"/>
  </r>
  <r>
    <n v="10101"/>
    <x v="86"/>
    <s v="Padel Racket"/>
    <x v="1"/>
    <s v="Seville"/>
    <n v="6"/>
    <n v="120"/>
    <n v="72"/>
    <x v="3"/>
    <x v="3"/>
    <m/>
    <n v="720"/>
    <n v="432"/>
    <n v="288"/>
    <n v="0.4"/>
  </r>
  <r>
    <n v="10102"/>
    <x v="5"/>
    <s v="Padel Racket"/>
    <x v="1"/>
    <s v="Madrid"/>
    <n v="2"/>
    <n v="120"/>
    <n v="72"/>
    <x v="3"/>
    <x v="0"/>
    <m/>
    <n v="240"/>
    <n v="144"/>
    <n v="96"/>
    <n v="0.4"/>
  </r>
  <r>
    <n v="10103"/>
    <x v="87"/>
    <s v="Padel Balls"/>
    <x v="0"/>
    <s v="Barcelona"/>
    <n v="1"/>
    <n v="8"/>
    <n v="3"/>
    <x v="5"/>
    <x v="2"/>
    <m/>
    <n v="8"/>
    <n v="3"/>
    <n v="5"/>
    <n v="0.625"/>
  </r>
  <r>
    <n v="10104"/>
    <x v="88"/>
    <s v="Grip Tape"/>
    <x v="0"/>
    <s v="Seville"/>
    <n v="8"/>
    <n v="6"/>
    <n v="2"/>
    <x v="0"/>
    <x v="3"/>
    <m/>
    <n v="48"/>
    <n v="16"/>
    <n v="32"/>
    <n v="0.66666666666666663"/>
  </r>
  <r>
    <n v="10105"/>
    <x v="89"/>
    <s v="Padel Bag"/>
    <x v="0"/>
    <s v="Valencia"/>
    <n v="4"/>
    <n v="45"/>
    <n v="21"/>
    <x v="4"/>
    <x v="1"/>
    <m/>
    <n v="180"/>
    <n v="84"/>
    <n v="96"/>
    <n v="0.53333333333333333"/>
  </r>
  <r>
    <n v="10106"/>
    <x v="74"/>
    <s v="Padel Balls"/>
    <x v="0"/>
    <s v="Barcelona"/>
    <n v="7"/>
    <n v="8"/>
    <n v="3"/>
    <x v="5"/>
    <x v="2"/>
    <m/>
    <n v="56"/>
    <n v="21"/>
    <n v="35"/>
    <n v="0.625"/>
  </r>
  <r>
    <n v="10107"/>
    <x v="90"/>
    <s v="Grip Tape"/>
    <x v="0"/>
    <s v="Valencia"/>
    <n v="4"/>
    <n v="6"/>
    <n v="2"/>
    <x v="0"/>
    <x v="1"/>
    <m/>
    <n v="24"/>
    <n v="8"/>
    <n v="16"/>
    <n v="0.66666666666666663"/>
  </r>
  <r>
    <n v="10108"/>
    <x v="91"/>
    <s v="Wristband"/>
    <x v="0"/>
    <s v="Valencia"/>
    <n v="1"/>
    <n v="12"/>
    <n v="4"/>
    <x v="1"/>
    <x v="1"/>
    <m/>
    <n v="12"/>
    <n v="4"/>
    <n v="8"/>
    <n v="0.66666666666666663"/>
  </r>
  <r>
    <n v="10109"/>
    <x v="92"/>
    <s v="Padel Bag"/>
    <x v="0"/>
    <s v="Seville"/>
    <n v="4"/>
    <n v="45"/>
    <n v="21"/>
    <x v="4"/>
    <x v="3"/>
    <m/>
    <n v="180"/>
    <n v="84"/>
    <n v="96"/>
    <n v="0.53333333333333333"/>
  </r>
  <r>
    <n v="10110"/>
    <x v="45"/>
    <s v="Padel Racket"/>
    <x v="1"/>
    <s v="Seville"/>
    <n v="3"/>
    <n v="120"/>
    <n v="72"/>
    <x v="3"/>
    <x v="3"/>
    <m/>
    <n v="360"/>
    <n v="216"/>
    <n v="144"/>
    <n v="0.4"/>
  </r>
  <r>
    <n v="10111"/>
    <x v="48"/>
    <s v="Padel Shoes"/>
    <x v="2"/>
    <s v="Seville"/>
    <n v="8"/>
    <n v="90"/>
    <n v="49"/>
    <x v="6"/>
    <x v="3"/>
    <m/>
    <n v="720"/>
    <n v="392"/>
    <n v="328"/>
    <n v="0.45555555555555555"/>
  </r>
  <r>
    <n v="10112"/>
    <x v="93"/>
    <s v="Wristband"/>
    <x v="0"/>
    <s v="Madrid"/>
    <n v="2"/>
    <n v="12"/>
    <n v="4"/>
    <x v="1"/>
    <x v="0"/>
    <m/>
    <n v="24"/>
    <n v="8"/>
    <n v="16"/>
    <n v="0.66666666666666663"/>
  </r>
  <r>
    <n v="10113"/>
    <x v="94"/>
    <s v="Padel Shirt"/>
    <x v="2"/>
    <s v="Madrid"/>
    <n v="7"/>
    <n v="35"/>
    <n v="16"/>
    <x v="7"/>
    <x v="0"/>
    <m/>
    <n v="245"/>
    <n v="112"/>
    <n v="133"/>
    <n v="0.54285714285714282"/>
  </r>
  <r>
    <n v="10114"/>
    <x v="77"/>
    <s v="Padel Shoes"/>
    <x v="2"/>
    <s v="Barcelona"/>
    <n v="8"/>
    <n v="90"/>
    <n v="49"/>
    <x v="6"/>
    <x v="2"/>
    <m/>
    <n v="720"/>
    <n v="392"/>
    <n v="328"/>
    <n v="0.45555555555555555"/>
  </r>
  <r>
    <n v="10115"/>
    <x v="71"/>
    <s v="Padel Shirt"/>
    <x v="2"/>
    <s v="Seville"/>
    <n v="7"/>
    <n v="35"/>
    <n v="16"/>
    <x v="7"/>
    <x v="3"/>
    <m/>
    <n v="245"/>
    <n v="112"/>
    <n v="133"/>
    <n v="0.54285714285714282"/>
  </r>
  <r>
    <n v="10116"/>
    <x v="70"/>
    <s v="Padel Shirt"/>
    <x v="2"/>
    <s v="Valencia"/>
    <n v="1"/>
    <n v="35"/>
    <n v="16"/>
    <x v="7"/>
    <x v="1"/>
    <m/>
    <n v="35"/>
    <n v="16"/>
    <n v="19"/>
    <n v="0.54285714285714282"/>
  </r>
  <r>
    <n v="10117"/>
    <x v="95"/>
    <s v="Padel Racket"/>
    <x v="1"/>
    <s v="valencia "/>
    <n v="5"/>
    <n v="120"/>
    <n v="72"/>
    <x v="3"/>
    <x v="1"/>
    <m/>
    <n v="600"/>
    <n v="360"/>
    <n v="240"/>
    <n v="0.4"/>
  </r>
  <r>
    <n v="10118"/>
    <x v="37"/>
    <s v="Padel Bag"/>
    <x v="0"/>
    <s v="Barcelona"/>
    <n v="2"/>
    <n v="45"/>
    <n v="21"/>
    <x v="4"/>
    <x v="2"/>
    <m/>
    <n v="90"/>
    <n v="42"/>
    <n v="48"/>
    <n v="0.53333333333333333"/>
  </r>
  <r>
    <n v="10119"/>
    <x v="86"/>
    <s v="Padel Balls"/>
    <x v="0"/>
    <s v="Seville"/>
    <n v="7"/>
    <n v="8"/>
    <n v="3"/>
    <x v="5"/>
    <x v="3"/>
    <m/>
    <n v="56"/>
    <n v="21"/>
    <n v="35"/>
    <n v="0.625"/>
  </r>
  <r>
    <n v="10120"/>
    <x v="57"/>
    <s v="Premium Racket"/>
    <x v="1"/>
    <s v="Madrid"/>
    <n v="7"/>
    <n v="190"/>
    <n v="112"/>
    <x v="2"/>
    <x v="0"/>
    <m/>
    <n v="1330"/>
    <n v="784"/>
    <n v="546"/>
    <n v="0.41052631578947368"/>
  </r>
  <r>
    <n v="10121"/>
    <x v="96"/>
    <s v="Padel Shirt"/>
    <x v="2"/>
    <s v="Valencia"/>
    <n v="1"/>
    <n v="35"/>
    <n v="16"/>
    <x v="7"/>
    <x v="1"/>
    <m/>
    <n v="35"/>
    <n v="16"/>
    <n v="19"/>
    <n v="0.54285714285714282"/>
  </r>
  <r>
    <n v="10122"/>
    <x v="49"/>
    <s v="Padel Shirt"/>
    <x v="2"/>
    <s v="Barcelona"/>
    <n v="2"/>
    <n v="35"/>
    <n v="16"/>
    <x v="7"/>
    <x v="2"/>
    <m/>
    <n v="70"/>
    <n v="32"/>
    <n v="38"/>
    <n v="0.54285714285714282"/>
  </r>
  <r>
    <n v="10123"/>
    <x v="97"/>
    <s v="Padel Shirt"/>
    <x v="2"/>
    <s v="Valencia"/>
    <n v="3"/>
    <n v="35"/>
    <n v="16"/>
    <x v="7"/>
    <x v="1"/>
    <m/>
    <n v="105"/>
    <n v="48"/>
    <n v="57"/>
    <n v="0.54285714285714282"/>
  </r>
  <r>
    <n v="10124"/>
    <x v="98"/>
    <s v="Padel Bag"/>
    <x v="0"/>
    <s v="Valencia"/>
    <n v="8"/>
    <n v="45"/>
    <n v="21"/>
    <x v="4"/>
    <x v="1"/>
    <m/>
    <n v="360"/>
    <n v="168"/>
    <n v="192"/>
    <n v="0.53333333333333333"/>
  </r>
  <r>
    <n v="10125"/>
    <x v="99"/>
    <s v="Padel Shoes"/>
    <x v="2"/>
    <s v="Barcelona"/>
    <n v="6"/>
    <n v="90"/>
    <n v="49"/>
    <x v="6"/>
    <x v="2"/>
    <m/>
    <n v="540"/>
    <n v="294"/>
    <n v="246"/>
    <n v="0.45555555555555555"/>
  </r>
  <r>
    <n v="10126"/>
    <x v="100"/>
    <s v="Padel Racket"/>
    <x v="1"/>
    <s v="Barcelona"/>
    <n v="5"/>
    <n v="120"/>
    <n v="72"/>
    <x v="3"/>
    <x v="2"/>
    <m/>
    <n v="600"/>
    <n v="360"/>
    <n v="240"/>
    <n v="0.4"/>
  </r>
  <r>
    <n v="10127"/>
    <x v="101"/>
    <s v="Premium Racket"/>
    <x v="1"/>
    <s v="Valencia"/>
    <n v="2"/>
    <n v="190"/>
    <n v="112"/>
    <x v="2"/>
    <x v="1"/>
    <m/>
    <n v="380"/>
    <n v="224"/>
    <n v="156"/>
    <n v="0.41052631578947368"/>
  </r>
  <r>
    <n v="10128"/>
    <x v="102"/>
    <s v="Padel Bag"/>
    <x v="0"/>
    <s v="Madrid"/>
    <n v="7"/>
    <n v="45"/>
    <n v="21"/>
    <x v="4"/>
    <x v="0"/>
    <m/>
    <n v="315"/>
    <n v="147"/>
    <n v="168"/>
    <n v="0.53333333333333333"/>
  </r>
  <r>
    <n v="10129"/>
    <x v="103"/>
    <s v="Grip Tape"/>
    <x v="0"/>
    <s v="Madrid"/>
    <n v="6"/>
    <n v="6"/>
    <n v="2"/>
    <x v="0"/>
    <x v="0"/>
    <m/>
    <n v="36"/>
    <n v="12"/>
    <n v="24"/>
    <n v="0.66666666666666663"/>
  </r>
  <r>
    <n v="10130"/>
    <x v="27"/>
    <s v="Padel Shirt"/>
    <x v="2"/>
    <s v="Madrid"/>
    <n v="8"/>
    <n v="35"/>
    <n v="16"/>
    <x v="7"/>
    <x v="0"/>
    <m/>
    <n v="280"/>
    <n v="128"/>
    <n v="152"/>
    <n v="0.54285714285714282"/>
  </r>
  <r>
    <n v="10131"/>
    <x v="104"/>
    <s v="Padel Balls"/>
    <x v="0"/>
    <s v="Barcelona"/>
    <n v="4"/>
    <n v="8"/>
    <n v="3"/>
    <x v="5"/>
    <x v="2"/>
    <m/>
    <n v="32"/>
    <n v="12"/>
    <n v="20"/>
    <n v="0.625"/>
  </r>
  <r>
    <n v="10132"/>
    <x v="70"/>
    <s v="Padel Shoes"/>
    <x v="2"/>
    <s v="Madrid"/>
    <n v="4"/>
    <n v="90"/>
    <n v="49"/>
    <x v="6"/>
    <x v="0"/>
    <m/>
    <n v="360"/>
    <n v="196"/>
    <n v="164"/>
    <n v="0.45555555555555555"/>
  </r>
  <r>
    <n v="10133"/>
    <x v="105"/>
    <s v="Wristband"/>
    <x v="0"/>
    <s v="Seville"/>
    <n v="8"/>
    <n v="12"/>
    <n v="4"/>
    <x v="1"/>
    <x v="3"/>
    <m/>
    <n v="96"/>
    <n v="32"/>
    <n v="64"/>
    <n v="0.66666666666666663"/>
  </r>
  <r>
    <n v="10134"/>
    <x v="70"/>
    <s v="Padel Shoes"/>
    <x v="2"/>
    <s v="Valencia"/>
    <n v="7"/>
    <n v="90"/>
    <n v="49"/>
    <x v="6"/>
    <x v="1"/>
    <m/>
    <n v="630"/>
    <n v="343"/>
    <n v="287"/>
    <n v="0.45555555555555555"/>
  </r>
  <r>
    <n v="10135"/>
    <x v="106"/>
    <s v="Padel Racket"/>
    <x v="1"/>
    <s v="Valencia"/>
    <n v="2"/>
    <n v="120"/>
    <n v="72"/>
    <x v="3"/>
    <x v="1"/>
    <m/>
    <n v="240"/>
    <n v="144"/>
    <n v="96"/>
    <n v="0.4"/>
  </r>
  <r>
    <n v="10136"/>
    <x v="79"/>
    <s v="Padel Shirt"/>
    <x v="2"/>
    <s v="Valencia"/>
    <n v="7"/>
    <n v="35"/>
    <n v="16"/>
    <x v="7"/>
    <x v="1"/>
    <m/>
    <n v="245"/>
    <n v="112"/>
    <n v="133"/>
    <n v="0.54285714285714282"/>
  </r>
  <r>
    <n v="10137"/>
    <x v="107"/>
    <s v=" grip tape "/>
    <x v="0"/>
    <s v="Madrid"/>
    <n v="2"/>
    <n v="6"/>
    <n v="2"/>
    <x v="0"/>
    <x v="0"/>
    <m/>
    <n v="12"/>
    <n v="4"/>
    <n v="8"/>
    <n v="0.66666666666666663"/>
  </r>
  <r>
    <n v="10138"/>
    <x v="108"/>
    <s v="Padel Balls"/>
    <x v="0"/>
    <s v="Seville"/>
    <n v="6"/>
    <n v="8"/>
    <n v="3"/>
    <x v="5"/>
    <x v="3"/>
    <m/>
    <n v="48"/>
    <n v="18"/>
    <n v="30"/>
    <n v="0.625"/>
  </r>
  <r>
    <n v="10139"/>
    <x v="109"/>
    <s v="Wristband"/>
    <x v="0"/>
    <s v="Barcelona"/>
    <n v="6"/>
    <n v="12"/>
    <n v="4"/>
    <x v="1"/>
    <x v="2"/>
    <m/>
    <n v="72"/>
    <n v="24"/>
    <n v="48"/>
    <n v="0.66666666666666663"/>
  </r>
  <r>
    <n v="10140"/>
    <x v="110"/>
    <s v="Padel Bag"/>
    <x v="0"/>
    <s v="Madrid"/>
    <n v="1"/>
    <n v="45"/>
    <n v="21"/>
    <x v="4"/>
    <x v="0"/>
    <m/>
    <n v="45"/>
    <n v="21"/>
    <n v="24"/>
    <n v="0.53333333333333333"/>
  </r>
  <r>
    <n v="10141"/>
    <x v="4"/>
    <s v="Wristband"/>
    <x v="0"/>
    <s v="Valencia"/>
    <n v="8"/>
    <n v="12"/>
    <n v="4"/>
    <x v="1"/>
    <x v="1"/>
    <m/>
    <n v="96"/>
    <n v="32"/>
    <n v="64"/>
    <n v="0.66666666666666663"/>
  </r>
  <r>
    <n v="10142"/>
    <x v="111"/>
    <s v="Wristband"/>
    <x v="0"/>
    <s v="Valencia"/>
    <n v="7"/>
    <n v="12"/>
    <n v="4"/>
    <x v="1"/>
    <x v="1"/>
    <m/>
    <n v="84"/>
    <n v="28"/>
    <n v="56"/>
    <n v="0.66666666666666663"/>
  </r>
  <r>
    <n v="10143"/>
    <x v="112"/>
    <s v="Padel Shoes"/>
    <x v="2"/>
    <s v="Seville"/>
    <n v="5"/>
    <n v="90"/>
    <n v="49"/>
    <x v="6"/>
    <x v="3"/>
    <m/>
    <n v="450"/>
    <n v="245"/>
    <n v="205"/>
    <n v="0.45555555555555555"/>
  </r>
  <r>
    <n v="10144"/>
    <x v="113"/>
    <s v="Wristband"/>
    <x v="0"/>
    <s v="Valencia"/>
    <n v="6"/>
    <n v="12"/>
    <n v="4"/>
    <x v="1"/>
    <x v="1"/>
    <m/>
    <n v="72"/>
    <n v="24"/>
    <n v="48"/>
    <n v="0.66666666666666663"/>
  </r>
  <r>
    <n v="10145"/>
    <x v="87"/>
    <s v="Padel Racket"/>
    <x v="1"/>
    <s v="Valencia"/>
    <n v="8"/>
    <n v="120"/>
    <n v="72"/>
    <x v="3"/>
    <x v="1"/>
    <m/>
    <n v="960"/>
    <n v="576"/>
    <n v="384"/>
    <n v="0.4"/>
  </r>
  <r>
    <n v="10146"/>
    <x v="114"/>
    <s v="Padel Balls"/>
    <x v="0"/>
    <s v="Seville"/>
    <n v="5"/>
    <n v="8"/>
    <n v="3"/>
    <x v="5"/>
    <x v="3"/>
    <m/>
    <n v="40"/>
    <n v="15"/>
    <n v="25"/>
    <n v="0.625"/>
  </r>
  <r>
    <n v="10147"/>
    <x v="115"/>
    <s v="Premium Racket"/>
    <x v="1"/>
    <s v="Madrid"/>
    <n v="3"/>
    <n v="190"/>
    <n v="112"/>
    <x v="2"/>
    <x v="0"/>
    <m/>
    <n v="570"/>
    <n v="336"/>
    <n v="234"/>
    <n v="0.41052631578947368"/>
  </r>
  <r>
    <n v="10148"/>
    <x v="116"/>
    <s v="Padel Balls"/>
    <x v="0"/>
    <s v="Madrid"/>
    <n v="1"/>
    <n v="8"/>
    <n v="3"/>
    <x v="5"/>
    <x v="0"/>
    <m/>
    <n v="8"/>
    <n v="3"/>
    <n v="5"/>
    <n v="0.625"/>
  </r>
  <r>
    <n v="10149"/>
    <x v="117"/>
    <s v="Wristband"/>
    <x v="0"/>
    <s v="Seville"/>
    <n v="1"/>
    <n v="12"/>
    <n v="4"/>
    <x v="1"/>
    <x v="3"/>
    <m/>
    <n v="12"/>
    <n v="4"/>
    <n v="8"/>
    <n v="0.66666666666666663"/>
  </r>
  <r>
    <n v="10150"/>
    <x v="118"/>
    <s v="Padel Bag"/>
    <x v="0"/>
    <s v="Barcelona"/>
    <n v="7"/>
    <n v="45"/>
    <n v="21"/>
    <x v="4"/>
    <x v="2"/>
    <m/>
    <n v="315"/>
    <n v="147"/>
    <n v="168"/>
    <n v="0.53333333333333333"/>
  </r>
  <r>
    <n v="10151"/>
    <x v="107"/>
    <s v="Padel Shirt"/>
    <x v="2"/>
    <s v="Madrid"/>
    <n v="3"/>
    <n v="35"/>
    <n v="16"/>
    <x v="7"/>
    <x v="0"/>
    <m/>
    <n v="105"/>
    <n v="48"/>
    <n v="57"/>
    <n v="0.54285714285714282"/>
  </r>
  <r>
    <n v="10152"/>
    <x v="119"/>
    <s v="Padel Shirt"/>
    <x v="2"/>
    <s v="Barcelona"/>
    <n v="2"/>
    <n v="35"/>
    <n v="16"/>
    <x v="7"/>
    <x v="2"/>
    <m/>
    <n v="70"/>
    <n v="32"/>
    <n v="38"/>
    <n v="0.54285714285714282"/>
  </r>
  <r>
    <n v="10153"/>
    <x v="13"/>
    <s v="Wristband"/>
    <x v="0"/>
    <s v="Barcelona"/>
    <n v="3"/>
    <n v="12"/>
    <n v="4"/>
    <x v="1"/>
    <x v="2"/>
    <m/>
    <n v="36"/>
    <n v="12"/>
    <n v="24"/>
    <n v="0.66666666666666663"/>
  </r>
  <r>
    <n v="10154"/>
    <x v="120"/>
    <s v="Padel Bag"/>
    <x v="0"/>
    <s v="Barcelona"/>
    <n v="3"/>
    <n v="45"/>
    <n v="21"/>
    <x v="4"/>
    <x v="2"/>
    <m/>
    <n v="135"/>
    <n v="63"/>
    <n v="72"/>
    <n v="0.53333333333333333"/>
  </r>
  <r>
    <n v="10155"/>
    <x v="50"/>
    <s v="Wristband"/>
    <x v="0"/>
    <s v="Valencia"/>
    <n v="6"/>
    <n v="12"/>
    <n v="4"/>
    <x v="1"/>
    <x v="1"/>
    <m/>
    <n v="72"/>
    <n v="24"/>
    <n v="48"/>
    <n v="0.66666666666666663"/>
  </r>
  <r>
    <n v="10156"/>
    <x v="104"/>
    <s v="Wristband"/>
    <x v="0"/>
    <s v="Valencia"/>
    <n v="3"/>
    <n v="12"/>
    <n v="4"/>
    <x v="1"/>
    <x v="1"/>
    <m/>
    <n v="36"/>
    <n v="12"/>
    <n v="24"/>
    <n v="0.66666666666666663"/>
  </r>
  <r>
    <n v="10157"/>
    <x v="5"/>
    <s v="Padel Shoes"/>
    <x v="2"/>
    <s v="Barcelona"/>
    <n v="8"/>
    <n v="90"/>
    <n v="49"/>
    <x v="6"/>
    <x v="2"/>
    <m/>
    <n v="720"/>
    <n v="392"/>
    <n v="328"/>
    <n v="0.45555555555555555"/>
  </r>
  <r>
    <n v="10158"/>
    <x v="121"/>
    <s v="Padel Racket"/>
    <x v="1"/>
    <s v="Valencia"/>
    <n v="8"/>
    <n v="120"/>
    <n v="72"/>
    <x v="3"/>
    <x v="1"/>
    <m/>
    <n v="960"/>
    <n v="576"/>
    <n v="384"/>
    <n v="0.4"/>
  </r>
  <r>
    <n v="10159"/>
    <x v="122"/>
    <s v="Padel Shirt"/>
    <x v="2"/>
    <s v="Barcelona"/>
    <n v="5"/>
    <n v="35"/>
    <n v="16"/>
    <x v="7"/>
    <x v="2"/>
    <m/>
    <n v="175"/>
    <n v="80"/>
    <n v="95"/>
    <n v="0.54285714285714282"/>
  </r>
  <r>
    <n v="10160"/>
    <x v="86"/>
    <s v="Padel Shoes"/>
    <x v="2"/>
    <s v="Barcelona"/>
    <n v="7"/>
    <n v="90"/>
    <n v="49"/>
    <x v="6"/>
    <x v="2"/>
    <m/>
    <n v="630"/>
    <n v="343"/>
    <n v="287"/>
    <n v="0.45555555555555555"/>
  </r>
  <r>
    <n v="10161"/>
    <x v="38"/>
    <s v="Premium Racket"/>
    <x v="1"/>
    <s v="Valencia"/>
    <n v="6"/>
    <n v="190"/>
    <n v="112"/>
    <x v="2"/>
    <x v="1"/>
    <m/>
    <n v="1140"/>
    <n v="672"/>
    <n v="468"/>
    <n v="0.41052631578947368"/>
  </r>
  <r>
    <n v="10162"/>
    <x v="123"/>
    <s v="Padel Racket"/>
    <x v="1"/>
    <s v="Barcelona"/>
    <n v="2"/>
    <n v="120"/>
    <n v="72"/>
    <x v="3"/>
    <x v="2"/>
    <m/>
    <n v="240"/>
    <n v="144"/>
    <n v="96"/>
    <n v="0.4"/>
  </r>
  <r>
    <n v="10163"/>
    <x v="124"/>
    <s v="Grip Tape"/>
    <x v="0"/>
    <s v="Seville"/>
    <n v="5"/>
    <n v="6"/>
    <n v="2"/>
    <x v="0"/>
    <x v="3"/>
    <m/>
    <n v="30"/>
    <n v="10"/>
    <n v="20"/>
    <n v="0.66666666666666663"/>
  </r>
  <r>
    <n v="10164"/>
    <x v="125"/>
    <s v="Grip Tape"/>
    <x v="0"/>
    <s v="Barcelona"/>
    <n v="1"/>
    <n v="6"/>
    <n v="2"/>
    <x v="0"/>
    <x v="2"/>
    <s v="Price filled from matching product records."/>
    <n v="6"/>
    <n v="2"/>
    <n v="4"/>
    <n v="0.66666666666666663"/>
  </r>
  <r>
    <n v="10165"/>
    <x v="126"/>
    <s v="Padel Balls"/>
    <x v="0"/>
    <s v="Valencia"/>
    <n v="7"/>
    <n v="8"/>
    <n v="3"/>
    <x v="5"/>
    <x v="1"/>
    <m/>
    <n v="56"/>
    <n v="21"/>
    <n v="35"/>
    <n v="0.625"/>
  </r>
  <r>
    <n v="10166"/>
    <x v="127"/>
    <s v="Padel Balls"/>
    <x v="0"/>
    <s v="Barcelona"/>
    <n v="6"/>
    <n v="8"/>
    <n v="3"/>
    <x v="5"/>
    <x v="2"/>
    <m/>
    <n v="48"/>
    <n v="18"/>
    <n v="30"/>
    <n v="0.625"/>
  </r>
  <r>
    <n v="10167"/>
    <x v="41"/>
    <s v="Padel Bag"/>
    <x v="0"/>
    <s v="Barcelona"/>
    <n v="7"/>
    <n v="45"/>
    <n v="21"/>
    <x v="4"/>
    <x v="2"/>
    <m/>
    <n v="315"/>
    <n v="147"/>
    <n v="168"/>
    <n v="0.53333333333333333"/>
  </r>
  <r>
    <n v="10168"/>
    <x v="116"/>
    <s v="Padel Balls"/>
    <x v="0"/>
    <s v="Valencia"/>
    <n v="7"/>
    <n v="8"/>
    <n v="3"/>
    <x v="5"/>
    <x v="1"/>
    <m/>
    <n v="56"/>
    <n v="21"/>
    <n v="35"/>
    <n v="0.625"/>
  </r>
  <r>
    <n v="10169"/>
    <x v="31"/>
    <s v="Grip Tape"/>
    <x v="0"/>
    <s v="Barcelona"/>
    <n v="6"/>
    <n v="6"/>
    <n v="2"/>
    <x v="0"/>
    <x v="2"/>
    <m/>
    <n v="36"/>
    <n v="12"/>
    <n v="24"/>
    <n v="0.66666666666666663"/>
  </r>
  <r>
    <n v="10170"/>
    <x v="116"/>
    <s v="Padel Racket"/>
    <x v="1"/>
    <s v="Valencia"/>
    <n v="5"/>
    <n v="120"/>
    <n v="72"/>
    <x v="3"/>
    <x v="1"/>
    <m/>
    <n v="600"/>
    <n v="360"/>
    <n v="240"/>
    <n v="0.4"/>
  </r>
  <r>
    <n v="10171"/>
    <x v="128"/>
    <s v="Grip Tape"/>
    <x v="0"/>
    <s v="Valencia"/>
    <n v="3"/>
    <n v="6"/>
    <n v="2"/>
    <x v="0"/>
    <x v="1"/>
    <m/>
    <n v="18"/>
    <n v="6"/>
    <n v="12"/>
    <n v="0.66666666666666663"/>
  </r>
  <r>
    <n v="10172"/>
    <x v="129"/>
    <s v="Padel Racket"/>
    <x v="1"/>
    <s v="Barcelona"/>
    <n v="7"/>
    <n v="120"/>
    <n v="72"/>
    <x v="3"/>
    <x v="2"/>
    <m/>
    <n v="840"/>
    <n v="504"/>
    <n v="336"/>
    <n v="0.4"/>
  </r>
  <r>
    <n v="10173"/>
    <x v="34"/>
    <s v="Premium Racket"/>
    <x v="1"/>
    <s v="Valencia"/>
    <n v="7"/>
    <n v="190"/>
    <n v="112"/>
    <x v="2"/>
    <x v="1"/>
    <m/>
    <n v="1330"/>
    <n v="784"/>
    <n v="546"/>
    <n v="0.41052631578947368"/>
  </r>
  <r>
    <n v="10174"/>
    <x v="130"/>
    <s v="Grip Tape"/>
    <x v="0"/>
    <s v="Madrid"/>
    <n v="5"/>
    <n v="6"/>
    <n v="2"/>
    <x v="0"/>
    <x v="0"/>
    <m/>
    <n v="30"/>
    <n v="10"/>
    <n v="20"/>
    <n v="0.66666666666666663"/>
  </r>
  <r>
    <n v="10175"/>
    <x v="131"/>
    <s v="Padel Balls"/>
    <x v="0"/>
    <s v="Seville"/>
    <n v="4"/>
    <n v="8"/>
    <n v="3"/>
    <x v="5"/>
    <x v="3"/>
    <m/>
    <n v="32"/>
    <n v="12"/>
    <n v="20"/>
    <n v="0.625"/>
  </r>
  <r>
    <n v="10176"/>
    <x v="132"/>
    <s v="Padel Shirt"/>
    <x v="2"/>
    <s v="Madrid"/>
    <n v="4"/>
    <n v="35"/>
    <n v="16"/>
    <x v="7"/>
    <x v="0"/>
    <m/>
    <n v="140"/>
    <n v="64"/>
    <n v="76"/>
    <n v="0.54285714285714282"/>
  </r>
  <r>
    <n v="10177"/>
    <x v="133"/>
    <s v="Grip Tape"/>
    <x v="0"/>
    <s v="Madrid"/>
    <n v="5"/>
    <n v="6"/>
    <n v="2"/>
    <x v="0"/>
    <x v="0"/>
    <m/>
    <n v="30"/>
    <n v="10"/>
    <n v="20"/>
    <n v="0.66666666666666663"/>
  </r>
  <r>
    <n v="10178"/>
    <x v="134"/>
    <s v="Padel Balls"/>
    <x v="0"/>
    <s v="Madrid"/>
    <n v="3"/>
    <n v="8"/>
    <n v="3"/>
    <x v="5"/>
    <x v="0"/>
    <m/>
    <n v="24"/>
    <n v="9"/>
    <n v="15"/>
    <n v="0.625"/>
  </r>
  <r>
    <n v="10179"/>
    <x v="113"/>
    <s v="Grip Tape"/>
    <x v="0"/>
    <s v="Seville"/>
    <n v="1"/>
    <n v="6"/>
    <n v="2"/>
    <x v="0"/>
    <x v="3"/>
    <m/>
    <n v="6"/>
    <n v="2"/>
    <n v="4"/>
    <n v="0.66666666666666663"/>
  </r>
  <r>
    <n v="10180"/>
    <x v="135"/>
    <s v="Padel Shoes"/>
    <x v="2"/>
    <s v="Valencia"/>
    <n v="7"/>
    <n v="90"/>
    <n v="49"/>
    <x v="6"/>
    <x v="1"/>
    <m/>
    <n v="630"/>
    <n v="343"/>
    <n v="287"/>
    <n v="0.45555555555555555"/>
  </r>
  <r>
    <n v="10181"/>
    <x v="30"/>
    <s v="Padel Shoes"/>
    <x v="2"/>
    <s v="Madrid"/>
    <n v="7"/>
    <n v="90"/>
    <n v="49"/>
    <x v="6"/>
    <x v="0"/>
    <m/>
    <n v="630"/>
    <n v="343"/>
    <n v="287"/>
    <n v="0.45555555555555555"/>
  </r>
  <r>
    <n v="10182"/>
    <x v="86"/>
    <s v="Padel Balls"/>
    <x v="0"/>
    <s v="Valencia"/>
    <n v="4"/>
    <n v="8"/>
    <n v="3"/>
    <x v="5"/>
    <x v="1"/>
    <m/>
    <n v="32"/>
    <n v="12"/>
    <n v="20"/>
    <n v="0.625"/>
  </r>
  <r>
    <n v="10183"/>
    <x v="136"/>
    <s v="Padel Racket"/>
    <x v="1"/>
    <s v="Seville"/>
    <n v="6"/>
    <n v="120"/>
    <n v="72"/>
    <x v="3"/>
    <x v="3"/>
    <m/>
    <n v="720"/>
    <n v="432"/>
    <n v="288"/>
    <n v="0.4"/>
  </r>
  <r>
    <n v="10184"/>
    <x v="115"/>
    <s v="Premium Racket"/>
    <x v="1"/>
    <s v="Valencia"/>
    <n v="3"/>
    <n v="190"/>
    <n v="112"/>
    <x v="2"/>
    <x v="1"/>
    <m/>
    <n v="570"/>
    <n v="336"/>
    <n v="234"/>
    <n v="0.41052631578947368"/>
  </r>
  <r>
    <n v="10185"/>
    <x v="101"/>
    <s v="Padel Shirt"/>
    <x v="2"/>
    <s v="Madrid"/>
    <n v="6"/>
    <n v="35"/>
    <n v="16"/>
    <x v="7"/>
    <x v="0"/>
    <m/>
    <n v="210"/>
    <n v="96"/>
    <n v="114"/>
    <n v="0.54285714285714282"/>
  </r>
  <r>
    <n v="10186"/>
    <x v="12"/>
    <s v="Padel Racket"/>
    <x v="1"/>
    <s v="Seville"/>
    <n v="8"/>
    <n v="120"/>
    <n v="72"/>
    <x v="3"/>
    <x v="3"/>
    <m/>
    <n v="960"/>
    <n v="576"/>
    <n v="384"/>
    <n v="0.4"/>
  </r>
  <r>
    <n v="10187"/>
    <x v="104"/>
    <s v="Padel Bag"/>
    <x v="0"/>
    <s v="Barcelona"/>
    <n v="7"/>
    <n v="45"/>
    <n v="21"/>
    <x v="4"/>
    <x v="2"/>
    <m/>
    <n v="315"/>
    <n v="147"/>
    <n v="168"/>
    <n v="0.53333333333333333"/>
  </r>
  <r>
    <n v="10188"/>
    <x v="125"/>
    <s v="Premium Racket"/>
    <x v="1"/>
    <s v="Valencia"/>
    <n v="5"/>
    <n v="190"/>
    <n v="112"/>
    <x v="2"/>
    <x v="1"/>
    <m/>
    <n v="950"/>
    <n v="560"/>
    <n v="390"/>
    <n v="0.41052631578947368"/>
  </r>
  <r>
    <n v="10189"/>
    <x v="137"/>
    <s v="Wristband"/>
    <x v="0"/>
    <s v="Barcelona"/>
    <n v="2"/>
    <n v="12"/>
    <n v="4"/>
    <x v="1"/>
    <x v="2"/>
    <m/>
    <n v="24"/>
    <n v="8"/>
    <n v="16"/>
    <n v="0.66666666666666663"/>
  </r>
  <r>
    <n v="10190"/>
    <x v="99"/>
    <s v="Padel Balls"/>
    <x v="0"/>
    <s v="Valencia"/>
    <n v="4"/>
    <n v="8"/>
    <n v="3"/>
    <x v="5"/>
    <x v="1"/>
    <m/>
    <n v="32"/>
    <n v="12"/>
    <n v="20"/>
    <n v="0.625"/>
  </r>
  <r>
    <n v="10191"/>
    <x v="138"/>
    <s v="Padel Balls"/>
    <x v="0"/>
    <s v="Valencia"/>
    <n v="8"/>
    <n v="8"/>
    <n v="3"/>
    <x v="5"/>
    <x v="1"/>
    <m/>
    <n v="64"/>
    <n v="24"/>
    <n v="40"/>
    <n v="0.625"/>
  </r>
  <r>
    <n v="10192"/>
    <x v="139"/>
    <s v="Wristband"/>
    <x v="0"/>
    <s v="Barcelona"/>
    <n v="4"/>
    <n v="12"/>
    <n v="4"/>
    <x v="1"/>
    <x v="2"/>
    <m/>
    <n v="48"/>
    <n v="16"/>
    <n v="32"/>
    <n v="0.66666666666666663"/>
  </r>
  <r>
    <n v="10193"/>
    <x v="140"/>
    <s v="Padel Bag"/>
    <x v="0"/>
    <s v="Barcelona"/>
    <n v="2"/>
    <n v="45"/>
    <n v="21"/>
    <x v="4"/>
    <x v="2"/>
    <m/>
    <n v="90"/>
    <n v="42"/>
    <n v="48"/>
    <n v="0.53333333333333333"/>
  </r>
  <r>
    <n v="10194"/>
    <x v="141"/>
    <s v="Padel Shoes"/>
    <x v="2"/>
    <s v="Seville"/>
    <n v="2"/>
    <n v="90"/>
    <n v="49"/>
    <x v="6"/>
    <x v="3"/>
    <m/>
    <n v="180"/>
    <n v="98"/>
    <n v="82"/>
    <n v="0.45555555555555555"/>
  </r>
  <r>
    <n v="10195"/>
    <x v="142"/>
    <s v="Premium Racket"/>
    <x v="1"/>
    <s v="Madrid"/>
    <n v="1"/>
    <n v="190"/>
    <n v="112"/>
    <x v="2"/>
    <x v="0"/>
    <m/>
    <n v="190"/>
    <n v="112"/>
    <n v="78"/>
    <n v="0.41052631578947368"/>
  </r>
  <r>
    <n v="10196"/>
    <x v="104"/>
    <s v="Padel Shoes"/>
    <x v="2"/>
    <s v="Seville"/>
    <n v="4"/>
    <n v="90"/>
    <n v="49"/>
    <x v="6"/>
    <x v="3"/>
    <m/>
    <n v="360"/>
    <n v="196"/>
    <n v="164"/>
    <n v="0.45555555555555555"/>
  </r>
  <r>
    <n v="10197"/>
    <x v="77"/>
    <s v="Padel Balls"/>
    <x v="0"/>
    <s v="Madrid"/>
    <n v="3"/>
    <n v="8"/>
    <n v="3"/>
    <x v="5"/>
    <x v="0"/>
    <m/>
    <n v="24"/>
    <n v="9"/>
    <n v="15"/>
    <n v="0.625"/>
  </r>
  <r>
    <n v="10198"/>
    <x v="143"/>
    <s v="Padel Shoes"/>
    <x v="2"/>
    <s v="Seville"/>
    <n v="1"/>
    <n v="90"/>
    <n v="49"/>
    <x v="6"/>
    <x v="3"/>
    <m/>
    <n v="90"/>
    <n v="49"/>
    <n v="41"/>
    <n v="0.45555555555555555"/>
  </r>
  <r>
    <n v="10199"/>
    <x v="96"/>
    <s v="Grip Tape"/>
    <x v="0"/>
    <s v="Barcelona"/>
    <n v="7"/>
    <n v="6"/>
    <n v="2"/>
    <x v="0"/>
    <x v="2"/>
    <m/>
    <n v="42"/>
    <n v="14"/>
    <n v="28"/>
    <n v="0.66666666666666663"/>
  </r>
  <r>
    <n v="10200"/>
    <x v="144"/>
    <s v="Padel Shoes"/>
    <x v="2"/>
    <s v="Madrid"/>
    <n v="3"/>
    <n v="90"/>
    <n v="49"/>
    <x v="6"/>
    <x v="0"/>
    <m/>
    <n v="270"/>
    <n v="147"/>
    <n v="123"/>
    <n v="0.455555555555555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43532-2516-B34A-A6D7-A25E9E93BA08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G3:H8" firstHeaderRow="1" firstDataRow="1" firstDataCol="1"/>
  <pivotFields count="17">
    <pivotField showAll="0"/>
    <pivotField showAll="0">
      <items count="146">
        <item x="56"/>
        <item x="36"/>
        <item x="49"/>
        <item x="117"/>
        <item x="122"/>
        <item x="86"/>
        <item x="7"/>
        <item x="3"/>
        <item x="102"/>
        <item x="17"/>
        <item x="61"/>
        <item x="107"/>
        <item x="19"/>
        <item x="8"/>
        <item x="52"/>
        <item x="103"/>
        <item x="104"/>
        <item x="100"/>
        <item x="27"/>
        <item x="141"/>
        <item x="74"/>
        <item x="131"/>
        <item x="9"/>
        <item x="143"/>
        <item x="89"/>
        <item x="83"/>
        <item x="135"/>
        <item x="80"/>
        <item x="63"/>
        <item x="92"/>
        <item x="2"/>
        <item x="64"/>
        <item x="51"/>
        <item x="90"/>
        <item x="15"/>
        <item x="138"/>
        <item x="10"/>
        <item x="22"/>
        <item x="72"/>
        <item x="111"/>
        <item x="59"/>
        <item x="91"/>
        <item x="47"/>
        <item x="99"/>
        <item x="93"/>
        <item x="119"/>
        <item x="75"/>
        <item x="76"/>
        <item x="73"/>
        <item x="97"/>
        <item x="0"/>
        <item x="118"/>
        <item x="142"/>
        <item x="24"/>
        <item x="11"/>
        <item x="109"/>
        <item x="21"/>
        <item x="39"/>
        <item x="98"/>
        <item x="41"/>
        <item x="124"/>
        <item x="144"/>
        <item x="65"/>
        <item x="37"/>
        <item x="71"/>
        <item x="113"/>
        <item x="94"/>
        <item x="43"/>
        <item x="110"/>
        <item x="132"/>
        <item x="16"/>
        <item x="5"/>
        <item x="42"/>
        <item x="134"/>
        <item x="95"/>
        <item x="57"/>
        <item x="20"/>
        <item x="45"/>
        <item x="55"/>
        <item x="87"/>
        <item x="53"/>
        <item x="54"/>
        <item x="121"/>
        <item x="44"/>
        <item x="133"/>
        <item x="115"/>
        <item x="116"/>
        <item x="81"/>
        <item x="106"/>
        <item x="114"/>
        <item x="129"/>
        <item x="69"/>
        <item x="127"/>
        <item x="6"/>
        <item x="33"/>
        <item x="13"/>
        <item x="26"/>
        <item x="70"/>
        <item x="30"/>
        <item x="66"/>
        <item x="108"/>
        <item x="84"/>
        <item x="58"/>
        <item x="25"/>
        <item x="68"/>
        <item x="35"/>
        <item x="78"/>
        <item x="123"/>
        <item x="82"/>
        <item x="77"/>
        <item x="101"/>
        <item x="48"/>
        <item x="23"/>
        <item x="62"/>
        <item x="60"/>
        <item x="139"/>
        <item x="12"/>
        <item x="50"/>
        <item x="112"/>
        <item x="105"/>
        <item x="126"/>
        <item x="125"/>
        <item x="29"/>
        <item x="88"/>
        <item x="140"/>
        <item x="18"/>
        <item x="79"/>
        <item x="128"/>
        <item x="1"/>
        <item x="14"/>
        <item x="67"/>
        <item x="85"/>
        <item x="38"/>
        <item x="4"/>
        <item x="40"/>
        <item x="32"/>
        <item x="46"/>
        <item x="31"/>
        <item x="136"/>
        <item x="120"/>
        <item x="96"/>
        <item x="28"/>
        <item x="34"/>
        <item x="137"/>
        <item x="13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9">
        <item x="1"/>
        <item x="2"/>
        <item x="6"/>
        <item x="7"/>
        <item x="3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6" showAll="0"/>
    <pivotField numFmtId="166" showAll="0"/>
    <pivotField numFmtId="166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 v="6"/>
    </i>
    <i>
      <x v="3"/>
    </i>
    <i>
      <x v="4"/>
    </i>
    <i>
      <x v="2"/>
    </i>
    <i>
      <x v="1"/>
    </i>
  </rowItems>
  <colItems count="1">
    <i/>
  </colItems>
  <dataFields count="1">
    <dataField name="Sum of Revenue (€)" fld="1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71A6B-CA9B-BA4A-9C8D-DC483553A71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7">
    <pivotField showAll="0"/>
    <pivotField showAll="0">
      <items count="146">
        <item x="56"/>
        <item x="36"/>
        <item x="49"/>
        <item x="117"/>
        <item x="122"/>
        <item x="86"/>
        <item x="7"/>
        <item x="3"/>
        <item x="102"/>
        <item x="17"/>
        <item x="61"/>
        <item x="107"/>
        <item x="19"/>
        <item x="8"/>
        <item x="52"/>
        <item x="103"/>
        <item x="104"/>
        <item x="100"/>
        <item x="27"/>
        <item x="141"/>
        <item x="74"/>
        <item x="131"/>
        <item x="9"/>
        <item x="143"/>
        <item x="89"/>
        <item x="83"/>
        <item x="135"/>
        <item x="80"/>
        <item x="63"/>
        <item x="92"/>
        <item x="2"/>
        <item x="64"/>
        <item x="51"/>
        <item x="90"/>
        <item x="15"/>
        <item x="138"/>
        <item x="10"/>
        <item x="22"/>
        <item x="72"/>
        <item x="111"/>
        <item x="59"/>
        <item x="91"/>
        <item x="47"/>
        <item x="99"/>
        <item x="93"/>
        <item x="119"/>
        <item x="75"/>
        <item x="76"/>
        <item x="73"/>
        <item x="97"/>
        <item x="0"/>
        <item x="118"/>
        <item x="142"/>
        <item x="24"/>
        <item x="11"/>
        <item x="109"/>
        <item x="21"/>
        <item x="39"/>
        <item x="98"/>
        <item x="41"/>
        <item x="124"/>
        <item x="144"/>
        <item x="65"/>
        <item x="37"/>
        <item x="71"/>
        <item x="113"/>
        <item x="94"/>
        <item x="43"/>
        <item x="110"/>
        <item x="132"/>
        <item x="16"/>
        <item x="5"/>
        <item x="42"/>
        <item x="134"/>
        <item x="95"/>
        <item x="57"/>
        <item x="20"/>
        <item x="45"/>
        <item x="55"/>
        <item x="87"/>
        <item x="53"/>
        <item x="54"/>
        <item x="121"/>
        <item x="44"/>
        <item x="133"/>
        <item x="115"/>
        <item x="116"/>
        <item x="81"/>
        <item x="106"/>
        <item x="114"/>
        <item x="129"/>
        <item x="69"/>
        <item x="127"/>
        <item x="6"/>
        <item x="33"/>
        <item x="13"/>
        <item x="26"/>
        <item x="70"/>
        <item x="30"/>
        <item x="66"/>
        <item x="108"/>
        <item x="84"/>
        <item x="58"/>
        <item x="25"/>
        <item x="68"/>
        <item x="35"/>
        <item x="78"/>
        <item x="123"/>
        <item x="82"/>
        <item x="77"/>
        <item x="101"/>
        <item x="48"/>
        <item x="23"/>
        <item x="62"/>
        <item x="60"/>
        <item x="139"/>
        <item x="12"/>
        <item x="50"/>
        <item x="112"/>
        <item x="105"/>
        <item x="126"/>
        <item x="125"/>
        <item x="29"/>
        <item x="88"/>
        <item x="140"/>
        <item x="18"/>
        <item x="79"/>
        <item x="128"/>
        <item x="1"/>
        <item x="14"/>
        <item x="67"/>
        <item x="85"/>
        <item x="38"/>
        <item x="4"/>
        <item x="40"/>
        <item x="32"/>
        <item x="46"/>
        <item x="31"/>
        <item x="136"/>
        <item x="120"/>
        <item x="96"/>
        <item x="28"/>
        <item x="34"/>
        <item x="137"/>
        <item x="1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numFmtId="166" showAll="0"/>
    <pivotField dataField="1" numFmtId="166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Gross Profit (€)" fld="1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4821A-775F-E64B-8154-4815ABFF903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7">
    <pivotField showAll="0"/>
    <pivotField showAll="0">
      <items count="146">
        <item x="56"/>
        <item x="36"/>
        <item x="49"/>
        <item x="117"/>
        <item x="122"/>
        <item x="86"/>
        <item x="7"/>
        <item x="3"/>
        <item x="102"/>
        <item x="17"/>
        <item x="61"/>
        <item x="107"/>
        <item x="19"/>
        <item x="8"/>
        <item x="52"/>
        <item x="103"/>
        <item x="104"/>
        <item x="100"/>
        <item x="27"/>
        <item x="141"/>
        <item x="74"/>
        <item x="131"/>
        <item x="9"/>
        <item x="143"/>
        <item x="89"/>
        <item x="83"/>
        <item x="135"/>
        <item x="80"/>
        <item x="63"/>
        <item x="92"/>
        <item x="2"/>
        <item x="64"/>
        <item x="51"/>
        <item x="90"/>
        <item x="15"/>
        <item x="138"/>
        <item x="10"/>
        <item x="22"/>
        <item x="72"/>
        <item x="111"/>
        <item x="59"/>
        <item x="91"/>
        <item x="47"/>
        <item x="99"/>
        <item x="93"/>
        <item x="119"/>
        <item x="75"/>
        <item x="76"/>
        <item x="73"/>
        <item x="97"/>
        <item x="0"/>
        <item x="118"/>
        <item x="142"/>
        <item x="24"/>
        <item x="11"/>
        <item x="109"/>
        <item x="21"/>
        <item x="39"/>
        <item x="98"/>
        <item x="41"/>
        <item x="124"/>
        <item x="144"/>
        <item x="65"/>
        <item x="37"/>
        <item x="71"/>
        <item x="113"/>
        <item x="94"/>
        <item x="43"/>
        <item x="110"/>
        <item x="132"/>
        <item x="16"/>
        <item x="5"/>
        <item x="42"/>
        <item x="134"/>
        <item x="95"/>
        <item x="57"/>
        <item x="20"/>
        <item x="45"/>
        <item x="55"/>
        <item x="87"/>
        <item x="53"/>
        <item x="54"/>
        <item x="121"/>
        <item x="44"/>
        <item x="133"/>
        <item x="115"/>
        <item x="116"/>
        <item x="81"/>
        <item x="106"/>
        <item x="114"/>
        <item x="129"/>
        <item x="69"/>
        <item x="127"/>
        <item x="6"/>
        <item x="33"/>
        <item x="13"/>
        <item x="26"/>
        <item x="70"/>
        <item x="30"/>
        <item x="66"/>
        <item x="108"/>
        <item x="84"/>
        <item x="58"/>
        <item x="25"/>
        <item x="68"/>
        <item x="35"/>
        <item x="78"/>
        <item x="123"/>
        <item x="82"/>
        <item x="77"/>
        <item x="101"/>
        <item x="48"/>
        <item x="23"/>
        <item x="62"/>
        <item x="60"/>
        <item x="139"/>
        <item x="12"/>
        <item x="50"/>
        <item x="112"/>
        <item x="105"/>
        <item x="126"/>
        <item x="125"/>
        <item x="29"/>
        <item x="88"/>
        <item x="140"/>
        <item x="18"/>
        <item x="79"/>
        <item x="128"/>
        <item x="1"/>
        <item x="14"/>
        <item x="67"/>
        <item x="85"/>
        <item x="38"/>
        <item x="4"/>
        <item x="40"/>
        <item x="32"/>
        <item x="46"/>
        <item x="31"/>
        <item x="136"/>
        <item x="120"/>
        <item x="96"/>
        <item x="28"/>
        <item x="34"/>
        <item x="137"/>
        <item x="1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6" showAll="0"/>
    <pivotField numFmtId="166" showAll="0"/>
    <pivotField numFmtId="166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Revenue (€)" fld="11" baseField="0" baseItem="0" numFmtId="166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3A93D-C1CE-6249-8901-B48268010A3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2:H22" firstHeaderRow="1" firstDataRow="1" firstDataCol="1"/>
  <pivotFields count="17">
    <pivotField showAll="0"/>
    <pivotField axis="axisRow" numFmtId="164" showAll="0">
      <items count="146">
        <item x="56"/>
        <item x="36"/>
        <item x="49"/>
        <item x="117"/>
        <item x="122"/>
        <item x="86"/>
        <item x="7"/>
        <item x="3"/>
        <item x="102"/>
        <item x="17"/>
        <item x="61"/>
        <item x="107"/>
        <item x="19"/>
        <item x="8"/>
        <item x="52"/>
        <item x="103"/>
        <item x="104"/>
        <item x="100"/>
        <item x="27"/>
        <item x="141"/>
        <item x="74"/>
        <item x="131"/>
        <item x="9"/>
        <item x="143"/>
        <item x="89"/>
        <item x="83"/>
        <item x="135"/>
        <item x="80"/>
        <item x="63"/>
        <item x="92"/>
        <item x="2"/>
        <item x="64"/>
        <item x="51"/>
        <item x="90"/>
        <item x="15"/>
        <item x="138"/>
        <item x="10"/>
        <item x="22"/>
        <item x="72"/>
        <item x="111"/>
        <item x="59"/>
        <item x="91"/>
        <item x="47"/>
        <item x="99"/>
        <item x="93"/>
        <item x="119"/>
        <item x="75"/>
        <item x="76"/>
        <item x="73"/>
        <item x="97"/>
        <item x="0"/>
        <item x="118"/>
        <item x="142"/>
        <item x="24"/>
        <item x="11"/>
        <item x="109"/>
        <item x="21"/>
        <item x="39"/>
        <item x="98"/>
        <item x="41"/>
        <item x="124"/>
        <item x="144"/>
        <item x="65"/>
        <item x="37"/>
        <item x="71"/>
        <item x="113"/>
        <item x="94"/>
        <item x="43"/>
        <item x="110"/>
        <item x="132"/>
        <item x="16"/>
        <item x="5"/>
        <item x="42"/>
        <item x="134"/>
        <item x="95"/>
        <item x="57"/>
        <item x="20"/>
        <item x="45"/>
        <item x="55"/>
        <item x="87"/>
        <item x="53"/>
        <item x="54"/>
        <item x="121"/>
        <item x="44"/>
        <item x="133"/>
        <item x="115"/>
        <item x="116"/>
        <item x="81"/>
        <item x="106"/>
        <item x="114"/>
        <item x="129"/>
        <item x="69"/>
        <item x="127"/>
        <item x="6"/>
        <item x="33"/>
        <item x="13"/>
        <item x="26"/>
        <item x="70"/>
        <item x="30"/>
        <item x="66"/>
        <item x="108"/>
        <item x="84"/>
        <item x="58"/>
        <item x="25"/>
        <item x="68"/>
        <item x="35"/>
        <item x="78"/>
        <item x="123"/>
        <item x="82"/>
        <item x="77"/>
        <item x="101"/>
        <item x="48"/>
        <item x="23"/>
        <item x="62"/>
        <item x="60"/>
        <item x="139"/>
        <item x="12"/>
        <item x="50"/>
        <item x="112"/>
        <item x="105"/>
        <item x="126"/>
        <item x="125"/>
        <item x="29"/>
        <item x="88"/>
        <item x="140"/>
        <item x="18"/>
        <item x="79"/>
        <item x="128"/>
        <item x="1"/>
        <item x="14"/>
        <item x="67"/>
        <item x="85"/>
        <item x="38"/>
        <item x="4"/>
        <item x="40"/>
        <item x="32"/>
        <item x="46"/>
        <item x="31"/>
        <item x="136"/>
        <item x="120"/>
        <item x="96"/>
        <item x="28"/>
        <item x="34"/>
        <item x="137"/>
        <item x="13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dataField="1" numFmtId="166" showAll="0"/>
    <pivotField numFmtId="166" showAll="0"/>
    <pivotField numFmtId="166" showAll="0"/>
    <pivotField numFmtId="10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 (€)" fld="11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D6445-D712-7C49-9F39-77FDE543F4D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15" firstHeaderRow="0" firstDataRow="1" firstDataCol="1"/>
  <pivotFields count="17">
    <pivotField showAll="0"/>
    <pivotField showAll="0">
      <items count="146">
        <item x="56"/>
        <item x="36"/>
        <item x="49"/>
        <item x="117"/>
        <item x="122"/>
        <item x="86"/>
        <item x="7"/>
        <item x="3"/>
        <item x="102"/>
        <item x="17"/>
        <item x="61"/>
        <item x="107"/>
        <item x="19"/>
        <item x="8"/>
        <item x="52"/>
        <item x="103"/>
        <item x="104"/>
        <item x="100"/>
        <item x="27"/>
        <item x="141"/>
        <item x="74"/>
        <item x="131"/>
        <item x="9"/>
        <item x="143"/>
        <item x="89"/>
        <item x="83"/>
        <item x="135"/>
        <item x="80"/>
        <item x="63"/>
        <item x="92"/>
        <item x="2"/>
        <item x="64"/>
        <item x="51"/>
        <item x="90"/>
        <item x="15"/>
        <item x="138"/>
        <item x="10"/>
        <item x="22"/>
        <item x="72"/>
        <item x="111"/>
        <item x="59"/>
        <item x="91"/>
        <item x="47"/>
        <item x="99"/>
        <item x="93"/>
        <item x="119"/>
        <item x="75"/>
        <item x="76"/>
        <item x="73"/>
        <item x="97"/>
        <item x="0"/>
        <item x="118"/>
        <item x="142"/>
        <item x="24"/>
        <item x="11"/>
        <item x="109"/>
        <item x="21"/>
        <item x="39"/>
        <item x="98"/>
        <item x="41"/>
        <item x="124"/>
        <item x="144"/>
        <item x="65"/>
        <item x="37"/>
        <item x="71"/>
        <item x="113"/>
        <item x="94"/>
        <item x="43"/>
        <item x="110"/>
        <item x="132"/>
        <item x="16"/>
        <item x="5"/>
        <item x="42"/>
        <item x="134"/>
        <item x="95"/>
        <item x="57"/>
        <item x="20"/>
        <item x="45"/>
        <item x="55"/>
        <item x="87"/>
        <item x="53"/>
        <item x="54"/>
        <item x="121"/>
        <item x="44"/>
        <item x="133"/>
        <item x="115"/>
        <item x="116"/>
        <item x="81"/>
        <item x="106"/>
        <item x="114"/>
        <item x="129"/>
        <item x="69"/>
        <item x="127"/>
        <item x="6"/>
        <item x="33"/>
        <item x="13"/>
        <item x="26"/>
        <item x="70"/>
        <item x="30"/>
        <item x="66"/>
        <item x="108"/>
        <item x="84"/>
        <item x="58"/>
        <item x="25"/>
        <item x="68"/>
        <item x="35"/>
        <item x="78"/>
        <item x="123"/>
        <item x="82"/>
        <item x="77"/>
        <item x="101"/>
        <item x="48"/>
        <item x="23"/>
        <item x="62"/>
        <item x="60"/>
        <item x="139"/>
        <item x="12"/>
        <item x="50"/>
        <item x="112"/>
        <item x="105"/>
        <item x="126"/>
        <item x="125"/>
        <item x="29"/>
        <item x="88"/>
        <item x="140"/>
        <item x="18"/>
        <item x="79"/>
        <item x="128"/>
        <item x="1"/>
        <item x="14"/>
        <item x="67"/>
        <item x="85"/>
        <item x="38"/>
        <item x="4"/>
        <item x="40"/>
        <item x="32"/>
        <item x="46"/>
        <item x="31"/>
        <item x="136"/>
        <item x="120"/>
        <item x="96"/>
        <item x="28"/>
        <item x="34"/>
        <item x="137"/>
        <item x="13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66" showAll="0"/>
    <pivotField dataField="1" numFmtId="166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€)" fld="11" baseField="0" baseItem="0" numFmtId="166"/>
    <dataField name="Sum of Gross Profit (€)" fld="1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zoomScale="50" workbookViewId="0">
      <pane ySplit="1" topLeftCell="A151" activePane="bottomLeft" state="frozen"/>
      <selection pane="bottomLeft" activeCell="C169" sqref="C169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5" width="18" customWidth="1"/>
    <col min="6" max="6" width="13" customWidth="1"/>
    <col min="7" max="8" width="19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10001</v>
      </c>
      <c r="B2" s="2">
        <v>46116</v>
      </c>
      <c r="C2" t="s">
        <v>8</v>
      </c>
      <c r="D2" t="s">
        <v>9</v>
      </c>
      <c r="E2" t="s">
        <v>10</v>
      </c>
      <c r="F2">
        <v>8</v>
      </c>
      <c r="G2" s="3">
        <v>6</v>
      </c>
      <c r="H2" s="3">
        <v>2</v>
      </c>
    </row>
    <row r="3" spans="1:8" x14ac:dyDescent="0.2">
      <c r="A3">
        <v>10002</v>
      </c>
      <c r="B3" s="2">
        <v>46272</v>
      </c>
      <c r="C3" t="s">
        <v>11</v>
      </c>
      <c r="D3" t="s">
        <v>9</v>
      </c>
      <c r="E3" t="s">
        <v>12</v>
      </c>
      <c r="F3">
        <v>2</v>
      </c>
      <c r="G3" s="3">
        <v>12</v>
      </c>
      <c r="H3" s="3">
        <v>4</v>
      </c>
    </row>
    <row r="4" spans="1:8" x14ac:dyDescent="0.2">
      <c r="A4">
        <v>10003</v>
      </c>
      <c r="B4" s="2">
        <v>46079</v>
      </c>
      <c r="C4" t="s">
        <v>13</v>
      </c>
      <c r="D4" t="s">
        <v>14</v>
      </c>
      <c r="E4" t="s">
        <v>15</v>
      </c>
      <c r="F4">
        <v>8</v>
      </c>
      <c r="G4" s="3">
        <v>190</v>
      </c>
      <c r="H4" s="3">
        <v>112</v>
      </c>
    </row>
    <row r="5" spans="1:8" x14ac:dyDescent="0.2">
      <c r="A5">
        <v>10004</v>
      </c>
      <c r="B5" s="2">
        <v>46036</v>
      </c>
      <c r="C5" t="s">
        <v>16</v>
      </c>
      <c r="D5" t="s">
        <v>14</v>
      </c>
      <c r="E5" t="s">
        <v>12</v>
      </c>
      <c r="F5">
        <v>7</v>
      </c>
      <c r="G5" s="3">
        <v>120</v>
      </c>
      <c r="H5" s="3">
        <v>72</v>
      </c>
    </row>
    <row r="6" spans="1:8" x14ac:dyDescent="0.2">
      <c r="A6">
        <v>10005</v>
      </c>
      <c r="B6" s="2">
        <v>46278</v>
      </c>
      <c r="C6" t="s">
        <v>13</v>
      </c>
      <c r="D6" t="s">
        <v>14</v>
      </c>
      <c r="E6" t="s">
        <v>12</v>
      </c>
      <c r="F6">
        <v>7</v>
      </c>
      <c r="G6" s="3">
        <v>190</v>
      </c>
      <c r="H6" s="3">
        <v>112</v>
      </c>
    </row>
    <row r="7" spans="1:8" x14ac:dyDescent="0.2">
      <c r="A7">
        <v>10006</v>
      </c>
      <c r="B7" s="2">
        <v>46158</v>
      </c>
      <c r="C7" t="s">
        <v>13</v>
      </c>
      <c r="D7" t="s">
        <v>14</v>
      </c>
      <c r="E7" t="s">
        <v>15</v>
      </c>
      <c r="F7">
        <v>1</v>
      </c>
      <c r="G7" s="3">
        <v>190</v>
      </c>
      <c r="H7" s="3">
        <v>112</v>
      </c>
    </row>
    <row r="8" spans="1:8" x14ac:dyDescent="0.2">
      <c r="A8">
        <v>10007</v>
      </c>
      <c r="B8" s="2">
        <v>46201</v>
      </c>
      <c r="C8" t="s">
        <v>17</v>
      </c>
      <c r="D8" t="s">
        <v>9</v>
      </c>
      <c r="E8" t="s">
        <v>10</v>
      </c>
      <c r="F8">
        <v>8</v>
      </c>
      <c r="G8" s="3">
        <v>45</v>
      </c>
      <c r="H8" s="3">
        <v>21</v>
      </c>
    </row>
    <row r="9" spans="1:8" x14ac:dyDescent="0.2">
      <c r="A9">
        <v>10008</v>
      </c>
      <c r="B9" s="2">
        <v>46035</v>
      </c>
      <c r="C9" t="s">
        <v>8</v>
      </c>
      <c r="D9" t="s">
        <v>9</v>
      </c>
      <c r="E9" t="s">
        <v>15</v>
      </c>
      <c r="F9">
        <v>4</v>
      </c>
      <c r="G9" s="3">
        <v>6</v>
      </c>
      <c r="H9" s="3">
        <v>2</v>
      </c>
    </row>
    <row r="10" spans="1:8" x14ac:dyDescent="0.2">
      <c r="A10">
        <v>10009</v>
      </c>
      <c r="B10" s="2">
        <v>46048</v>
      </c>
      <c r="C10" t="s">
        <v>17</v>
      </c>
      <c r="D10" t="s">
        <v>9</v>
      </c>
      <c r="E10" t="s">
        <v>12</v>
      </c>
      <c r="F10">
        <v>5</v>
      </c>
      <c r="G10" s="3">
        <v>45</v>
      </c>
      <c r="H10" s="3">
        <v>21</v>
      </c>
    </row>
    <row r="11" spans="1:8" x14ac:dyDescent="0.2">
      <c r="A11">
        <v>10010</v>
      </c>
      <c r="B11" s="2">
        <v>46066</v>
      </c>
      <c r="C11" t="s">
        <v>17</v>
      </c>
      <c r="D11" t="s">
        <v>9</v>
      </c>
      <c r="E11" t="s">
        <v>15</v>
      </c>
      <c r="F11">
        <v>7</v>
      </c>
      <c r="G11" s="3">
        <v>45</v>
      </c>
      <c r="H11" s="3">
        <v>21</v>
      </c>
    </row>
    <row r="12" spans="1:8" x14ac:dyDescent="0.2">
      <c r="A12">
        <v>10011</v>
      </c>
      <c r="B12" s="2">
        <v>46090</v>
      </c>
      <c r="C12" t="s">
        <v>18</v>
      </c>
      <c r="D12" t="s">
        <v>9</v>
      </c>
      <c r="E12" t="s">
        <v>10</v>
      </c>
      <c r="F12">
        <v>4</v>
      </c>
      <c r="G12" s="3">
        <v>8</v>
      </c>
      <c r="H12" s="3">
        <v>3</v>
      </c>
    </row>
    <row r="13" spans="1:8" x14ac:dyDescent="0.2">
      <c r="A13">
        <v>10012</v>
      </c>
      <c r="B13" s="2">
        <v>46272</v>
      </c>
      <c r="C13" t="s">
        <v>19</v>
      </c>
      <c r="D13" t="s">
        <v>20</v>
      </c>
      <c r="E13" t="s">
        <v>21</v>
      </c>
      <c r="F13">
        <v>8</v>
      </c>
      <c r="G13" s="3">
        <v>90</v>
      </c>
      <c r="H13" s="3">
        <v>49</v>
      </c>
    </row>
    <row r="14" spans="1:8" x14ac:dyDescent="0.2">
      <c r="A14">
        <v>10013</v>
      </c>
      <c r="B14" s="2">
        <v>46126</v>
      </c>
      <c r="C14" t="s">
        <v>17</v>
      </c>
      <c r="D14" t="s">
        <v>9</v>
      </c>
      <c r="E14" t="s">
        <v>12</v>
      </c>
      <c r="F14">
        <v>5</v>
      </c>
      <c r="G14" s="3">
        <v>45</v>
      </c>
      <c r="H14" s="3">
        <v>21</v>
      </c>
    </row>
    <row r="15" spans="1:8" x14ac:dyDescent="0.2">
      <c r="A15">
        <v>10014</v>
      </c>
      <c r="B15" s="2">
        <v>46242</v>
      </c>
      <c r="C15" t="s">
        <v>16</v>
      </c>
      <c r="D15" t="s">
        <v>14</v>
      </c>
      <c r="E15" t="s">
        <v>21</v>
      </c>
      <c r="F15">
        <v>2</v>
      </c>
      <c r="G15" s="3">
        <v>120</v>
      </c>
      <c r="H15" s="3">
        <v>72</v>
      </c>
    </row>
    <row r="16" spans="1:8" x14ac:dyDescent="0.2">
      <c r="A16">
        <v>10015</v>
      </c>
      <c r="B16" s="2">
        <v>46208</v>
      </c>
      <c r="C16" t="s">
        <v>13</v>
      </c>
      <c r="D16" t="s">
        <v>14</v>
      </c>
      <c r="E16" t="s">
        <v>10</v>
      </c>
      <c r="F16">
        <v>2</v>
      </c>
      <c r="G16" s="3">
        <v>190</v>
      </c>
      <c r="H16" s="3">
        <v>112</v>
      </c>
    </row>
    <row r="17" spans="1:8" x14ac:dyDescent="0.2">
      <c r="A17">
        <v>10016</v>
      </c>
      <c r="B17" s="2">
        <v>46273</v>
      </c>
      <c r="C17" t="s">
        <v>13</v>
      </c>
      <c r="D17" t="s">
        <v>14</v>
      </c>
      <c r="E17" t="s">
        <v>15</v>
      </c>
      <c r="F17">
        <v>6</v>
      </c>
      <c r="G17" s="3">
        <v>190</v>
      </c>
      <c r="H17" s="3">
        <v>112</v>
      </c>
    </row>
    <row r="18" spans="1:8" x14ac:dyDescent="0.2">
      <c r="A18">
        <v>10017</v>
      </c>
      <c r="B18" s="2">
        <v>46086</v>
      </c>
      <c r="C18" t="s">
        <v>18</v>
      </c>
      <c r="D18" t="s">
        <v>9</v>
      </c>
      <c r="E18" t="s">
        <v>15</v>
      </c>
      <c r="F18">
        <v>4</v>
      </c>
      <c r="G18" s="3">
        <v>8</v>
      </c>
      <c r="H18" s="3">
        <v>3</v>
      </c>
    </row>
    <row r="19" spans="1:8" x14ac:dyDescent="0.2">
      <c r="A19">
        <v>10018</v>
      </c>
      <c r="B19" s="2">
        <v>46155</v>
      </c>
      <c r="C19" t="s">
        <v>8</v>
      </c>
      <c r="D19" t="s">
        <v>9</v>
      </c>
      <c r="E19" t="s">
        <v>21</v>
      </c>
      <c r="F19">
        <v>7</v>
      </c>
      <c r="G19" s="3">
        <v>6</v>
      </c>
      <c r="H19" s="3">
        <v>2</v>
      </c>
    </row>
    <row r="20" spans="1:8" x14ac:dyDescent="0.2">
      <c r="A20">
        <v>10019</v>
      </c>
      <c r="B20" s="2">
        <v>46040</v>
      </c>
      <c r="C20" t="s">
        <v>13</v>
      </c>
      <c r="D20" t="s">
        <v>14</v>
      </c>
      <c r="E20" t="s">
        <v>10</v>
      </c>
      <c r="F20">
        <v>8</v>
      </c>
      <c r="G20" s="3">
        <v>190</v>
      </c>
      <c r="H20" s="3">
        <v>112</v>
      </c>
    </row>
    <row r="21" spans="1:8" x14ac:dyDescent="0.2">
      <c r="A21">
        <v>10020</v>
      </c>
      <c r="B21" s="2">
        <v>46262</v>
      </c>
      <c r="C21" t="s">
        <v>18</v>
      </c>
      <c r="D21" t="s">
        <v>9</v>
      </c>
      <c r="E21" t="s">
        <v>10</v>
      </c>
      <c r="F21">
        <v>5</v>
      </c>
      <c r="G21" s="3">
        <v>8</v>
      </c>
      <c r="H21" s="3">
        <v>3</v>
      </c>
    </row>
    <row r="22" spans="1:8" x14ac:dyDescent="0.2">
      <c r="A22">
        <v>10021</v>
      </c>
      <c r="B22" s="2">
        <v>46046</v>
      </c>
      <c r="C22" t="s">
        <v>18</v>
      </c>
      <c r="D22" t="s">
        <v>9</v>
      </c>
      <c r="E22" t="s">
        <v>15</v>
      </c>
      <c r="F22">
        <v>6</v>
      </c>
      <c r="G22" s="3">
        <v>8</v>
      </c>
      <c r="H22" s="3">
        <v>3</v>
      </c>
    </row>
    <row r="23" spans="1:8" x14ac:dyDescent="0.2">
      <c r="A23">
        <v>10022</v>
      </c>
      <c r="B23" s="2">
        <v>46171</v>
      </c>
      <c r="C23" t="s">
        <v>17</v>
      </c>
      <c r="D23" t="s">
        <v>9</v>
      </c>
      <c r="E23" t="s">
        <v>10</v>
      </c>
      <c r="F23">
        <v>1</v>
      </c>
      <c r="G23" s="3">
        <v>45</v>
      </c>
      <c r="H23" s="3">
        <v>21</v>
      </c>
    </row>
    <row r="24" spans="1:8" x14ac:dyDescent="0.2">
      <c r="A24">
        <v>10023</v>
      </c>
      <c r="B24" s="2">
        <v>46036</v>
      </c>
      <c r="C24" t="s">
        <v>17</v>
      </c>
      <c r="D24" t="s">
        <v>9</v>
      </c>
      <c r="E24" t="s">
        <v>22</v>
      </c>
      <c r="F24">
        <v>7</v>
      </c>
      <c r="G24" s="3">
        <v>45</v>
      </c>
      <c r="H24" s="3">
        <v>21</v>
      </c>
    </row>
    <row r="25" spans="1:8" x14ac:dyDescent="0.2">
      <c r="A25">
        <v>10024</v>
      </c>
      <c r="B25" s="2">
        <v>46128</v>
      </c>
      <c r="C25" t="s">
        <v>13</v>
      </c>
      <c r="D25" t="s">
        <v>14</v>
      </c>
      <c r="E25" t="s">
        <v>15</v>
      </c>
      <c r="F25">
        <v>1</v>
      </c>
      <c r="G25" s="3">
        <v>190</v>
      </c>
      <c r="H25" s="3">
        <v>112</v>
      </c>
    </row>
    <row r="26" spans="1:8" x14ac:dyDescent="0.2">
      <c r="A26">
        <v>10025</v>
      </c>
      <c r="B26" s="2">
        <v>46091</v>
      </c>
      <c r="C26" t="s">
        <v>23</v>
      </c>
      <c r="D26" t="s">
        <v>20</v>
      </c>
      <c r="E26" t="s">
        <v>15</v>
      </c>
      <c r="F26">
        <v>7</v>
      </c>
      <c r="G26" s="3">
        <v>90</v>
      </c>
      <c r="H26" s="3">
        <v>49</v>
      </c>
    </row>
    <row r="27" spans="1:8" x14ac:dyDescent="0.2">
      <c r="A27">
        <v>10026</v>
      </c>
      <c r="B27" s="2">
        <v>46234</v>
      </c>
      <c r="C27" t="s">
        <v>13</v>
      </c>
      <c r="D27" t="s">
        <v>14</v>
      </c>
      <c r="E27" t="s">
        <v>10</v>
      </c>
      <c r="F27">
        <v>2</v>
      </c>
      <c r="G27" s="3">
        <v>190</v>
      </c>
      <c r="H27" s="3">
        <v>112</v>
      </c>
    </row>
    <row r="28" spans="1:8" x14ac:dyDescent="0.2">
      <c r="A28">
        <v>10027</v>
      </c>
      <c r="B28" s="2">
        <v>46123</v>
      </c>
      <c r="C28" t="s">
        <v>8</v>
      </c>
      <c r="D28" t="s">
        <v>9</v>
      </c>
      <c r="E28" t="s">
        <v>21</v>
      </c>
      <c r="F28">
        <v>5</v>
      </c>
      <c r="G28" s="3">
        <v>6</v>
      </c>
      <c r="H28" s="3">
        <v>2</v>
      </c>
    </row>
    <row r="29" spans="1:8" x14ac:dyDescent="0.2">
      <c r="A29">
        <v>10028</v>
      </c>
      <c r="B29" s="2">
        <v>46091</v>
      </c>
      <c r="C29" t="s">
        <v>8</v>
      </c>
      <c r="D29" t="s">
        <v>9</v>
      </c>
      <c r="E29" t="s">
        <v>21</v>
      </c>
      <c r="F29">
        <v>6</v>
      </c>
      <c r="G29" s="3">
        <v>6</v>
      </c>
      <c r="H29" s="3">
        <v>2</v>
      </c>
    </row>
    <row r="30" spans="1:8" x14ac:dyDescent="0.2">
      <c r="A30">
        <v>10029</v>
      </c>
      <c r="B30" s="2">
        <v>46221</v>
      </c>
      <c r="C30" t="s">
        <v>11</v>
      </c>
      <c r="D30" t="s">
        <v>9</v>
      </c>
      <c r="E30" t="s">
        <v>21</v>
      </c>
      <c r="F30">
        <v>8</v>
      </c>
      <c r="G30" s="3">
        <v>12</v>
      </c>
      <c r="H30" s="3">
        <v>4</v>
      </c>
    </row>
    <row r="31" spans="1:8" x14ac:dyDescent="0.2">
      <c r="A31">
        <v>10030</v>
      </c>
      <c r="B31" s="2">
        <v>46209</v>
      </c>
      <c r="C31" t="s">
        <v>23</v>
      </c>
      <c r="D31" t="s">
        <v>20</v>
      </c>
      <c r="E31" t="s">
        <v>21</v>
      </c>
      <c r="F31">
        <v>5</v>
      </c>
      <c r="G31" s="3">
        <v>90</v>
      </c>
      <c r="H31" s="3">
        <v>49</v>
      </c>
    </row>
    <row r="32" spans="1:8" x14ac:dyDescent="0.2">
      <c r="A32">
        <v>10031</v>
      </c>
      <c r="B32" s="2">
        <v>46058</v>
      </c>
      <c r="C32" t="s">
        <v>18</v>
      </c>
      <c r="D32" t="s">
        <v>9</v>
      </c>
      <c r="E32" t="s">
        <v>12</v>
      </c>
      <c r="F32">
        <v>6</v>
      </c>
      <c r="G32" s="3">
        <v>8</v>
      </c>
      <c r="H32" s="3">
        <v>3</v>
      </c>
    </row>
    <row r="33" spans="1:8" x14ac:dyDescent="0.2">
      <c r="A33">
        <v>10032</v>
      </c>
      <c r="B33" s="2">
        <v>46288</v>
      </c>
      <c r="C33" t="s">
        <v>18</v>
      </c>
      <c r="D33" t="s">
        <v>9</v>
      </c>
      <c r="E33" t="s">
        <v>21</v>
      </c>
      <c r="F33">
        <v>6</v>
      </c>
      <c r="G33" s="3">
        <v>8</v>
      </c>
      <c r="H33" s="3">
        <v>3</v>
      </c>
    </row>
    <row r="34" spans="1:8" x14ac:dyDescent="0.2">
      <c r="A34">
        <v>10033</v>
      </c>
      <c r="B34" s="2">
        <v>46255</v>
      </c>
      <c r="C34" t="s">
        <v>18</v>
      </c>
      <c r="D34" t="s">
        <v>9</v>
      </c>
      <c r="E34" t="s">
        <v>12</v>
      </c>
      <c r="F34">
        <v>7</v>
      </c>
      <c r="G34" s="3">
        <v>8</v>
      </c>
      <c r="H34" s="3">
        <v>3</v>
      </c>
    </row>
    <row r="35" spans="1:8" x14ac:dyDescent="0.2">
      <c r="A35">
        <v>10034</v>
      </c>
      <c r="B35" s="2">
        <v>46046</v>
      </c>
      <c r="C35" t="s">
        <v>11</v>
      </c>
      <c r="D35" t="s">
        <v>9</v>
      </c>
      <c r="E35" t="s">
        <v>21</v>
      </c>
      <c r="F35">
        <v>1</v>
      </c>
      <c r="G35" s="3">
        <v>12</v>
      </c>
      <c r="H35" s="3">
        <v>4</v>
      </c>
    </row>
    <row r="36" spans="1:8" x14ac:dyDescent="0.2">
      <c r="A36">
        <v>10035</v>
      </c>
      <c r="B36" s="2">
        <v>46212</v>
      </c>
      <c r="C36" t="s">
        <v>17</v>
      </c>
      <c r="D36" t="s">
        <v>9</v>
      </c>
      <c r="E36" t="s">
        <v>24</v>
      </c>
      <c r="F36">
        <v>1</v>
      </c>
      <c r="G36" s="3">
        <v>45</v>
      </c>
      <c r="H36" s="3">
        <v>21</v>
      </c>
    </row>
    <row r="37" spans="1:8" x14ac:dyDescent="0.2">
      <c r="A37">
        <v>10036</v>
      </c>
      <c r="B37" s="2">
        <v>46284</v>
      </c>
      <c r="C37" t="s">
        <v>17</v>
      </c>
      <c r="D37" t="s">
        <v>9</v>
      </c>
      <c r="E37" t="s">
        <v>12</v>
      </c>
      <c r="F37">
        <v>8</v>
      </c>
      <c r="G37" s="3">
        <v>45</v>
      </c>
      <c r="H37" s="3">
        <v>21</v>
      </c>
    </row>
    <row r="38" spans="1:8" x14ac:dyDescent="0.2">
      <c r="A38">
        <v>10037</v>
      </c>
      <c r="B38" s="2">
        <v>46280</v>
      </c>
      <c r="C38" t="s">
        <v>25</v>
      </c>
      <c r="D38" t="s">
        <v>20</v>
      </c>
      <c r="E38" t="s">
        <v>10</v>
      </c>
      <c r="F38">
        <v>1</v>
      </c>
      <c r="G38" s="3">
        <v>35</v>
      </c>
      <c r="H38" s="3">
        <v>16</v>
      </c>
    </row>
    <row r="39" spans="1:8" x14ac:dyDescent="0.2">
      <c r="A39">
        <v>10038</v>
      </c>
      <c r="B39" s="2">
        <v>46207</v>
      </c>
      <c r="C39" t="s">
        <v>11</v>
      </c>
      <c r="D39" t="s">
        <v>9</v>
      </c>
      <c r="E39" t="s">
        <v>12</v>
      </c>
      <c r="F39">
        <v>8</v>
      </c>
      <c r="G39" s="3">
        <v>12</v>
      </c>
      <c r="H39" s="3">
        <v>4</v>
      </c>
    </row>
    <row r="40" spans="1:8" x14ac:dyDescent="0.2">
      <c r="A40">
        <v>10039</v>
      </c>
      <c r="B40" s="2">
        <v>46289</v>
      </c>
      <c r="C40" t="s">
        <v>16</v>
      </c>
      <c r="D40" t="s">
        <v>14</v>
      </c>
      <c r="E40" t="s">
        <v>10</v>
      </c>
      <c r="F40">
        <v>6</v>
      </c>
      <c r="G40" s="3">
        <v>120</v>
      </c>
      <c r="H40" s="3">
        <v>72</v>
      </c>
    </row>
    <row r="41" spans="1:8" x14ac:dyDescent="0.2">
      <c r="A41">
        <v>10040</v>
      </c>
      <c r="B41" s="2">
        <v>46224</v>
      </c>
      <c r="C41" t="s">
        <v>18</v>
      </c>
      <c r="D41" t="s">
        <v>9</v>
      </c>
      <c r="E41" t="s">
        <v>15</v>
      </c>
      <c r="F41">
        <v>8</v>
      </c>
      <c r="G41" s="3">
        <v>8</v>
      </c>
      <c r="H41" s="3">
        <v>3</v>
      </c>
    </row>
    <row r="42" spans="1:8" x14ac:dyDescent="0.2">
      <c r="A42">
        <v>10041</v>
      </c>
      <c r="B42" s="2">
        <v>46025</v>
      </c>
      <c r="C42" t="s">
        <v>23</v>
      </c>
      <c r="D42" t="s">
        <v>20</v>
      </c>
      <c r="E42" t="s">
        <v>15</v>
      </c>
      <c r="F42">
        <v>1</v>
      </c>
      <c r="G42" s="3">
        <v>90</v>
      </c>
      <c r="H42" s="3">
        <v>49</v>
      </c>
    </row>
    <row r="43" spans="1:8" x14ac:dyDescent="0.2">
      <c r="A43">
        <v>10042</v>
      </c>
      <c r="B43" s="2">
        <v>46138</v>
      </c>
      <c r="C43" t="s">
        <v>25</v>
      </c>
      <c r="D43" t="s">
        <v>20</v>
      </c>
      <c r="E43" t="s">
        <v>10</v>
      </c>
      <c r="F43">
        <v>7</v>
      </c>
      <c r="G43" s="3">
        <v>35</v>
      </c>
      <c r="H43" s="3">
        <v>16</v>
      </c>
    </row>
    <row r="44" spans="1:8" x14ac:dyDescent="0.2">
      <c r="A44">
        <v>10043</v>
      </c>
      <c r="B44" s="2">
        <v>46276</v>
      </c>
      <c r="C44" t="s">
        <v>18</v>
      </c>
      <c r="D44" t="s">
        <v>9</v>
      </c>
      <c r="E44" t="s">
        <v>21</v>
      </c>
      <c r="F44">
        <v>2</v>
      </c>
      <c r="G44" s="3">
        <v>8</v>
      </c>
      <c r="H44" s="3">
        <v>3</v>
      </c>
    </row>
    <row r="45" spans="1:8" x14ac:dyDescent="0.2">
      <c r="A45">
        <v>10044</v>
      </c>
      <c r="B45" s="2">
        <v>46091</v>
      </c>
      <c r="C45" t="s">
        <v>25</v>
      </c>
      <c r="D45" t="s">
        <v>20</v>
      </c>
      <c r="E45" t="s">
        <v>21</v>
      </c>
      <c r="F45">
        <v>4</v>
      </c>
      <c r="G45" s="3">
        <v>35</v>
      </c>
      <c r="H45" s="3">
        <v>16</v>
      </c>
    </row>
    <row r="46" spans="1:8" x14ac:dyDescent="0.2">
      <c r="A46">
        <v>10045</v>
      </c>
      <c r="B46" s="2">
        <v>46129</v>
      </c>
      <c r="C46" t="s">
        <v>25</v>
      </c>
      <c r="D46" t="s">
        <v>20</v>
      </c>
      <c r="E46" t="s">
        <v>15</v>
      </c>
      <c r="F46">
        <v>5</v>
      </c>
      <c r="G46" s="3">
        <v>35</v>
      </c>
      <c r="H46" s="3">
        <v>16</v>
      </c>
    </row>
    <row r="47" spans="1:8" x14ac:dyDescent="0.2">
      <c r="A47">
        <v>10046</v>
      </c>
      <c r="B47" s="2">
        <v>46279</v>
      </c>
      <c r="C47" t="s">
        <v>26</v>
      </c>
      <c r="D47" t="s">
        <v>9</v>
      </c>
      <c r="E47" t="s">
        <v>12</v>
      </c>
      <c r="F47">
        <v>1</v>
      </c>
      <c r="G47" s="3">
        <v>45</v>
      </c>
      <c r="H47" s="3">
        <v>21</v>
      </c>
    </row>
    <row r="48" spans="1:8" x14ac:dyDescent="0.2">
      <c r="A48">
        <v>10047</v>
      </c>
      <c r="B48" s="2">
        <v>46132</v>
      </c>
      <c r="C48" t="s">
        <v>13</v>
      </c>
      <c r="D48" t="s">
        <v>14</v>
      </c>
      <c r="E48" t="s">
        <v>15</v>
      </c>
      <c r="F48">
        <v>7</v>
      </c>
      <c r="G48" s="3">
        <v>190</v>
      </c>
      <c r="H48" s="3">
        <v>112</v>
      </c>
    </row>
    <row r="49" spans="1:8" x14ac:dyDescent="0.2">
      <c r="A49">
        <v>10048</v>
      </c>
      <c r="B49" s="2">
        <v>46161</v>
      </c>
      <c r="C49" t="s">
        <v>23</v>
      </c>
      <c r="D49" t="s">
        <v>20</v>
      </c>
      <c r="E49" t="s">
        <v>21</v>
      </c>
      <c r="F49">
        <v>7</v>
      </c>
      <c r="G49" s="3">
        <v>90</v>
      </c>
      <c r="H49" s="3">
        <v>49</v>
      </c>
    </row>
    <row r="50" spans="1:8" x14ac:dyDescent="0.2">
      <c r="A50">
        <v>10049</v>
      </c>
      <c r="B50" s="2">
        <v>46148</v>
      </c>
      <c r="C50" t="s">
        <v>17</v>
      </c>
      <c r="D50" t="s">
        <v>9</v>
      </c>
      <c r="E50" t="s">
        <v>10</v>
      </c>
      <c r="F50">
        <v>2</v>
      </c>
      <c r="G50" s="3">
        <v>45</v>
      </c>
      <c r="H50" s="3">
        <v>21</v>
      </c>
    </row>
    <row r="51" spans="1:8" x14ac:dyDescent="0.2">
      <c r="A51">
        <v>10050</v>
      </c>
      <c r="B51" s="2">
        <v>46187</v>
      </c>
      <c r="C51" t="s">
        <v>23</v>
      </c>
      <c r="D51" t="s">
        <v>20</v>
      </c>
      <c r="E51" t="s">
        <v>15</v>
      </c>
      <c r="F51">
        <v>1</v>
      </c>
      <c r="G51" s="3">
        <v>90</v>
      </c>
      <c r="H51" s="3">
        <v>49</v>
      </c>
    </row>
    <row r="52" spans="1:8" x14ac:dyDescent="0.2">
      <c r="A52">
        <v>10051</v>
      </c>
      <c r="B52" s="2">
        <v>46173</v>
      </c>
      <c r="C52" t="s">
        <v>17</v>
      </c>
      <c r="D52" t="s">
        <v>9</v>
      </c>
      <c r="E52" t="s">
        <v>15</v>
      </c>
      <c r="F52">
        <v>2</v>
      </c>
      <c r="G52" s="3">
        <v>45</v>
      </c>
      <c r="H52" s="3">
        <v>21</v>
      </c>
    </row>
    <row r="53" spans="1:8" x14ac:dyDescent="0.2">
      <c r="A53">
        <v>10052</v>
      </c>
      <c r="B53" s="2">
        <v>46282</v>
      </c>
      <c r="C53" t="s">
        <v>13</v>
      </c>
      <c r="D53" t="s">
        <v>14</v>
      </c>
      <c r="E53" t="s">
        <v>15</v>
      </c>
      <c r="F53">
        <v>4</v>
      </c>
      <c r="G53" s="3">
        <v>190</v>
      </c>
      <c r="H53" s="3">
        <v>112</v>
      </c>
    </row>
    <row r="54" spans="1:8" x14ac:dyDescent="0.2">
      <c r="A54">
        <v>10053</v>
      </c>
      <c r="B54" s="2">
        <v>46101</v>
      </c>
      <c r="C54" t="s">
        <v>25</v>
      </c>
      <c r="D54" t="s">
        <v>20</v>
      </c>
      <c r="E54" t="s">
        <v>10</v>
      </c>
      <c r="F54">
        <v>7</v>
      </c>
      <c r="G54" s="3">
        <v>35</v>
      </c>
      <c r="H54" s="3">
        <v>16</v>
      </c>
    </row>
    <row r="55" spans="1:8" x14ac:dyDescent="0.2">
      <c r="A55">
        <v>10054</v>
      </c>
      <c r="B55" s="2">
        <v>46233</v>
      </c>
      <c r="C55" t="s">
        <v>13</v>
      </c>
      <c r="D55" t="s">
        <v>14</v>
      </c>
      <c r="E55" t="s">
        <v>12</v>
      </c>
      <c r="F55">
        <v>5</v>
      </c>
      <c r="G55" s="3">
        <v>190</v>
      </c>
      <c r="H55" s="3">
        <v>112</v>
      </c>
    </row>
    <row r="56" spans="1:8" x14ac:dyDescent="0.2">
      <c r="A56">
        <v>10055</v>
      </c>
      <c r="B56" s="2">
        <v>46029</v>
      </c>
      <c r="C56" t="s">
        <v>23</v>
      </c>
      <c r="D56" t="s">
        <v>20</v>
      </c>
      <c r="E56" t="s">
        <v>15</v>
      </c>
      <c r="F56">
        <v>5</v>
      </c>
      <c r="G56" s="3">
        <v>90</v>
      </c>
      <c r="H56" s="3">
        <v>49</v>
      </c>
    </row>
    <row r="57" spans="1:8" x14ac:dyDescent="0.2">
      <c r="A57">
        <v>10056</v>
      </c>
      <c r="B57" s="2">
        <v>46244</v>
      </c>
      <c r="C57" t="s">
        <v>17</v>
      </c>
      <c r="D57" t="s">
        <v>9</v>
      </c>
      <c r="E57" t="s">
        <v>21</v>
      </c>
      <c r="F57">
        <v>8</v>
      </c>
      <c r="G57" s="3">
        <v>45</v>
      </c>
      <c r="H57" s="3">
        <v>21</v>
      </c>
    </row>
    <row r="58" spans="1:8" x14ac:dyDescent="0.2">
      <c r="A58">
        <v>10057</v>
      </c>
      <c r="B58" s="2">
        <v>46083</v>
      </c>
      <c r="C58" t="s">
        <v>11</v>
      </c>
      <c r="D58" t="s">
        <v>9</v>
      </c>
      <c r="E58" t="s">
        <v>15</v>
      </c>
      <c r="F58">
        <v>1</v>
      </c>
      <c r="G58" s="3">
        <v>12</v>
      </c>
      <c r="H58" s="3">
        <v>4</v>
      </c>
    </row>
    <row r="59" spans="1:8" x14ac:dyDescent="0.2">
      <c r="A59">
        <v>10058</v>
      </c>
      <c r="B59" s="2">
        <v>46050</v>
      </c>
      <c r="C59" t="s">
        <v>17</v>
      </c>
      <c r="D59" t="s">
        <v>9</v>
      </c>
      <c r="E59" t="s">
        <v>10</v>
      </c>
      <c r="F59">
        <v>2</v>
      </c>
      <c r="G59" s="3">
        <v>45</v>
      </c>
      <c r="H59" s="3">
        <v>21</v>
      </c>
    </row>
    <row r="60" spans="1:8" x14ac:dyDescent="0.2">
      <c r="A60">
        <v>10059</v>
      </c>
      <c r="B60" s="2">
        <v>46180</v>
      </c>
      <c r="C60" t="s">
        <v>25</v>
      </c>
      <c r="D60" t="s">
        <v>20</v>
      </c>
      <c r="E60" t="s">
        <v>15</v>
      </c>
      <c r="F60">
        <v>5</v>
      </c>
      <c r="G60" s="3">
        <v>35</v>
      </c>
      <c r="H60" s="3">
        <v>16</v>
      </c>
    </row>
    <row r="61" spans="1:8" x14ac:dyDescent="0.2">
      <c r="A61">
        <v>10060</v>
      </c>
      <c r="B61" s="2">
        <v>46181</v>
      </c>
      <c r="C61" t="s">
        <v>16</v>
      </c>
      <c r="D61" t="s">
        <v>14</v>
      </c>
      <c r="E61" t="s">
        <v>12</v>
      </c>
      <c r="F61">
        <v>6</v>
      </c>
      <c r="G61" s="3">
        <v>120</v>
      </c>
      <c r="H61" s="3">
        <v>72</v>
      </c>
    </row>
    <row r="62" spans="1:8" x14ac:dyDescent="0.2">
      <c r="A62">
        <v>10061</v>
      </c>
      <c r="B62" s="2">
        <v>46178</v>
      </c>
      <c r="C62" t="s">
        <v>25</v>
      </c>
      <c r="D62" t="s">
        <v>20</v>
      </c>
      <c r="E62" t="s">
        <v>10</v>
      </c>
      <c r="F62">
        <v>8</v>
      </c>
      <c r="G62" s="3">
        <v>35</v>
      </c>
      <c r="H62" s="3">
        <v>16</v>
      </c>
    </row>
    <row r="63" spans="1:8" x14ac:dyDescent="0.2">
      <c r="A63">
        <v>10062</v>
      </c>
      <c r="B63" s="2">
        <v>46023</v>
      </c>
      <c r="C63" t="s">
        <v>25</v>
      </c>
      <c r="D63" t="s">
        <v>20</v>
      </c>
      <c r="E63" t="s">
        <v>12</v>
      </c>
      <c r="F63">
        <v>6</v>
      </c>
      <c r="G63" s="3">
        <v>35</v>
      </c>
      <c r="H63" s="3">
        <v>16</v>
      </c>
    </row>
    <row r="64" spans="1:8" x14ac:dyDescent="0.2">
      <c r="A64">
        <v>10063</v>
      </c>
      <c r="B64" s="2">
        <v>46170</v>
      </c>
      <c r="C64" t="s">
        <v>25</v>
      </c>
      <c r="D64" t="s">
        <v>20</v>
      </c>
      <c r="E64" t="s">
        <v>10</v>
      </c>
      <c r="F64">
        <v>2</v>
      </c>
      <c r="G64" s="3"/>
      <c r="H64" s="3">
        <v>16</v>
      </c>
    </row>
    <row r="65" spans="1:8" x14ac:dyDescent="0.2">
      <c r="A65">
        <v>10064</v>
      </c>
      <c r="B65" s="2">
        <v>46220</v>
      </c>
      <c r="C65" t="s">
        <v>23</v>
      </c>
      <c r="D65" t="s">
        <v>20</v>
      </c>
      <c r="E65" t="s">
        <v>10</v>
      </c>
      <c r="F65">
        <v>3</v>
      </c>
      <c r="G65" s="3">
        <v>90</v>
      </c>
      <c r="H65" s="3">
        <v>49</v>
      </c>
    </row>
    <row r="66" spans="1:8" x14ac:dyDescent="0.2">
      <c r="A66">
        <v>10065</v>
      </c>
      <c r="B66" s="2">
        <v>46280</v>
      </c>
      <c r="C66" t="s">
        <v>13</v>
      </c>
      <c r="D66" t="s">
        <v>14</v>
      </c>
      <c r="E66" t="s">
        <v>10</v>
      </c>
      <c r="F66">
        <v>5</v>
      </c>
      <c r="G66" s="3">
        <v>190</v>
      </c>
      <c r="H66" s="3">
        <v>112</v>
      </c>
    </row>
    <row r="67" spans="1:8" x14ac:dyDescent="0.2">
      <c r="A67">
        <v>10066</v>
      </c>
      <c r="B67" s="2">
        <v>46099</v>
      </c>
      <c r="C67" t="s">
        <v>25</v>
      </c>
      <c r="D67" t="s">
        <v>20</v>
      </c>
      <c r="E67" t="s">
        <v>12</v>
      </c>
      <c r="F67">
        <v>1</v>
      </c>
      <c r="G67" s="3">
        <v>35</v>
      </c>
      <c r="H67" s="3">
        <v>16</v>
      </c>
    </row>
    <row r="68" spans="1:8" x14ac:dyDescent="0.2">
      <c r="A68">
        <v>10067</v>
      </c>
      <c r="B68" s="2">
        <v>46239</v>
      </c>
      <c r="C68" t="s">
        <v>8</v>
      </c>
      <c r="D68" t="s">
        <v>9</v>
      </c>
      <c r="E68" t="s">
        <v>12</v>
      </c>
      <c r="F68">
        <v>4</v>
      </c>
      <c r="G68" s="3">
        <v>6</v>
      </c>
      <c r="H68" s="3">
        <v>2</v>
      </c>
    </row>
    <row r="69" spans="1:8" x14ac:dyDescent="0.2">
      <c r="A69">
        <v>10068</v>
      </c>
      <c r="B69" s="2">
        <v>46041</v>
      </c>
      <c r="C69" t="s">
        <v>13</v>
      </c>
      <c r="D69" t="s">
        <v>14</v>
      </c>
      <c r="E69" t="s">
        <v>15</v>
      </c>
      <c r="F69">
        <v>1</v>
      </c>
      <c r="G69" s="3">
        <v>190</v>
      </c>
      <c r="H69" s="3">
        <v>112</v>
      </c>
    </row>
    <row r="70" spans="1:8" x14ac:dyDescent="0.2">
      <c r="A70">
        <v>10069</v>
      </c>
      <c r="B70" s="2">
        <v>46155</v>
      </c>
      <c r="C70" t="s">
        <v>25</v>
      </c>
      <c r="D70" t="s">
        <v>20</v>
      </c>
      <c r="E70" t="s">
        <v>12</v>
      </c>
      <c r="F70">
        <v>7</v>
      </c>
      <c r="G70" s="3">
        <v>35</v>
      </c>
      <c r="H70" s="3">
        <v>16</v>
      </c>
    </row>
    <row r="71" spans="1:8" x14ac:dyDescent="0.2">
      <c r="A71">
        <v>10070</v>
      </c>
      <c r="B71" s="2">
        <v>46236</v>
      </c>
      <c r="C71" t="s">
        <v>8</v>
      </c>
      <c r="D71" t="s">
        <v>9</v>
      </c>
      <c r="E71" t="s">
        <v>21</v>
      </c>
      <c r="F71">
        <v>4</v>
      </c>
      <c r="G71" s="3">
        <v>6</v>
      </c>
      <c r="H71" s="3">
        <v>2</v>
      </c>
    </row>
    <row r="72" spans="1:8" x14ac:dyDescent="0.2">
      <c r="A72">
        <v>10071</v>
      </c>
      <c r="B72" s="2">
        <v>46076</v>
      </c>
      <c r="C72" t="s">
        <v>13</v>
      </c>
      <c r="D72" t="s">
        <v>14</v>
      </c>
      <c r="E72" t="s">
        <v>15</v>
      </c>
      <c r="F72">
        <v>2</v>
      </c>
      <c r="G72" s="3">
        <v>190</v>
      </c>
      <c r="H72" s="3">
        <v>112</v>
      </c>
    </row>
    <row r="73" spans="1:8" x14ac:dyDescent="0.2">
      <c r="A73">
        <v>10072</v>
      </c>
      <c r="B73" s="2">
        <v>46080</v>
      </c>
      <c r="C73" t="s">
        <v>8</v>
      </c>
      <c r="D73" t="s">
        <v>9</v>
      </c>
      <c r="E73" t="s">
        <v>15</v>
      </c>
      <c r="F73">
        <v>8</v>
      </c>
      <c r="G73" s="3">
        <v>6</v>
      </c>
      <c r="H73" s="3">
        <v>2</v>
      </c>
    </row>
    <row r="74" spans="1:8" x14ac:dyDescent="0.2">
      <c r="A74">
        <v>10073</v>
      </c>
      <c r="B74" s="2">
        <v>46135</v>
      </c>
      <c r="C74" t="s">
        <v>23</v>
      </c>
      <c r="D74" t="s">
        <v>20</v>
      </c>
      <c r="E74" t="s">
        <v>21</v>
      </c>
      <c r="F74">
        <v>4</v>
      </c>
      <c r="G74" s="3">
        <v>90</v>
      </c>
      <c r="H74" s="3">
        <v>49</v>
      </c>
    </row>
    <row r="75" spans="1:8" x14ac:dyDescent="0.2">
      <c r="A75">
        <v>10074</v>
      </c>
      <c r="B75" s="2">
        <v>46213</v>
      </c>
      <c r="C75" t="s">
        <v>8</v>
      </c>
      <c r="D75" t="s">
        <v>9</v>
      </c>
      <c r="E75" t="s">
        <v>27</v>
      </c>
      <c r="F75">
        <v>4</v>
      </c>
      <c r="G75" s="3">
        <v>6</v>
      </c>
      <c r="H75" s="3">
        <v>2</v>
      </c>
    </row>
    <row r="76" spans="1:8" x14ac:dyDescent="0.2">
      <c r="A76">
        <v>10075</v>
      </c>
      <c r="B76" s="2">
        <v>46274</v>
      </c>
      <c r="C76" t="s">
        <v>25</v>
      </c>
      <c r="D76" t="s">
        <v>20</v>
      </c>
      <c r="E76" t="s">
        <v>12</v>
      </c>
      <c r="F76">
        <v>3</v>
      </c>
      <c r="G76" s="3">
        <v>35</v>
      </c>
      <c r="H76" s="3">
        <v>16</v>
      </c>
    </row>
    <row r="77" spans="1:8" x14ac:dyDescent="0.2">
      <c r="A77">
        <v>10076</v>
      </c>
      <c r="B77" s="2">
        <v>46222</v>
      </c>
      <c r="C77" t="s">
        <v>25</v>
      </c>
      <c r="D77" t="s">
        <v>20</v>
      </c>
      <c r="E77" t="s">
        <v>21</v>
      </c>
      <c r="F77">
        <v>4</v>
      </c>
      <c r="G77" s="3">
        <v>35</v>
      </c>
      <c r="H77" s="3">
        <v>16</v>
      </c>
    </row>
    <row r="78" spans="1:8" x14ac:dyDescent="0.2">
      <c r="A78">
        <v>10077</v>
      </c>
      <c r="B78" s="2">
        <v>46199</v>
      </c>
      <c r="C78" t="s">
        <v>25</v>
      </c>
      <c r="D78" t="s">
        <v>20</v>
      </c>
      <c r="E78" t="s">
        <v>10</v>
      </c>
      <c r="F78">
        <v>7</v>
      </c>
      <c r="G78" s="3">
        <v>35</v>
      </c>
      <c r="H78" s="3">
        <v>16</v>
      </c>
    </row>
    <row r="79" spans="1:8" x14ac:dyDescent="0.2">
      <c r="A79">
        <v>10078</v>
      </c>
      <c r="B79" s="2">
        <v>46129</v>
      </c>
      <c r="C79" t="s">
        <v>13</v>
      </c>
      <c r="D79" t="s">
        <v>14</v>
      </c>
      <c r="E79" t="s">
        <v>12</v>
      </c>
      <c r="F79">
        <v>5</v>
      </c>
      <c r="G79" s="3">
        <v>190</v>
      </c>
      <c r="H79" s="3">
        <v>112</v>
      </c>
    </row>
    <row r="80" spans="1:8" x14ac:dyDescent="0.2">
      <c r="A80">
        <v>10079</v>
      </c>
      <c r="B80" s="2">
        <v>46234</v>
      </c>
      <c r="C80" t="s">
        <v>11</v>
      </c>
      <c r="D80" t="s">
        <v>9</v>
      </c>
      <c r="E80" t="s">
        <v>12</v>
      </c>
      <c r="F80">
        <v>6</v>
      </c>
      <c r="G80" s="3">
        <v>12</v>
      </c>
      <c r="H80" s="3">
        <v>4</v>
      </c>
    </row>
    <row r="81" spans="1:8" x14ac:dyDescent="0.2">
      <c r="A81">
        <v>10080</v>
      </c>
      <c r="B81" s="2">
        <v>46210</v>
      </c>
      <c r="C81" t="s">
        <v>8</v>
      </c>
      <c r="D81" t="s">
        <v>9</v>
      </c>
      <c r="E81" t="s">
        <v>10</v>
      </c>
      <c r="F81">
        <v>4</v>
      </c>
      <c r="G81" s="3">
        <v>6</v>
      </c>
      <c r="H81" s="3">
        <v>2</v>
      </c>
    </row>
    <row r="82" spans="1:8" x14ac:dyDescent="0.2">
      <c r="A82">
        <v>10081</v>
      </c>
      <c r="B82" s="2">
        <v>46139</v>
      </c>
      <c r="C82" t="s">
        <v>23</v>
      </c>
      <c r="D82" t="s">
        <v>20</v>
      </c>
      <c r="E82" t="s">
        <v>15</v>
      </c>
      <c r="F82">
        <v>3</v>
      </c>
      <c r="G82" s="3">
        <v>90</v>
      </c>
      <c r="H82" s="3">
        <v>49</v>
      </c>
    </row>
    <row r="83" spans="1:8" x14ac:dyDescent="0.2">
      <c r="A83">
        <v>10082</v>
      </c>
      <c r="B83" s="2">
        <v>46244</v>
      </c>
      <c r="C83" t="s">
        <v>25</v>
      </c>
      <c r="D83" t="s">
        <v>20</v>
      </c>
      <c r="E83" t="s">
        <v>15</v>
      </c>
      <c r="F83">
        <v>8</v>
      </c>
      <c r="G83" s="3">
        <v>35</v>
      </c>
      <c r="H83" s="3">
        <v>16</v>
      </c>
    </row>
    <row r="84" spans="1:8" x14ac:dyDescent="0.2">
      <c r="A84">
        <v>10083</v>
      </c>
      <c r="B84" s="2">
        <v>46093</v>
      </c>
      <c r="C84" t="s">
        <v>11</v>
      </c>
      <c r="D84" t="s">
        <v>9</v>
      </c>
      <c r="E84" t="s">
        <v>10</v>
      </c>
      <c r="F84">
        <v>4</v>
      </c>
      <c r="G84" s="3">
        <v>12</v>
      </c>
      <c r="H84" s="3">
        <v>4</v>
      </c>
    </row>
    <row r="85" spans="1:8" x14ac:dyDescent="0.2">
      <c r="A85">
        <v>10084</v>
      </c>
      <c r="B85" s="2">
        <v>46112</v>
      </c>
      <c r="C85" t="s">
        <v>23</v>
      </c>
      <c r="D85" t="s">
        <v>20</v>
      </c>
      <c r="E85" t="s">
        <v>21</v>
      </c>
      <c r="F85">
        <v>1</v>
      </c>
      <c r="G85" s="3">
        <v>90</v>
      </c>
      <c r="H85" s="3">
        <v>49</v>
      </c>
    </row>
    <row r="86" spans="1:8" x14ac:dyDescent="0.2">
      <c r="A86">
        <v>10085</v>
      </c>
      <c r="B86" s="2">
        <v>46063</v>
      </c>
      <c r="C86" t="s">
        <v>25</v>
      </c>
      <c r="D86" t="s">
        <v>20</v>
      </c>
      <c r="E86" t="s">
        <v>21</v>
      </c>
      <c r="F86">
        <v>8</v>
      </c>
      <c r="G86" s="3">
        <v>35</v>
      </c>
      <c r="H86" s="3">
        <v>16</v>
      </c>
    </row>
    <row r="87" spans="1:8" x14ac:dyDescent="0.2">
      <c r="A87">
        <v>10086</v>
      </c>
      <c r="B87" s="2">
        <v>46108</v>
      </c>
      <c r="C87" t="s">
        <v>11</v>
      </c>
      <c r="D87" t="s">
        <v>9</v>
      </c>
      <c r="E87" t="s">
        <v>12</v>
      </c>
      <c r="F87">
        <v>2</v>
      </c>
      <c r="G87" s="3">
        <v>12</v>
      </c>
      <c r="H87" s="3">
        <v>4</v>
      </c>
    </row>
    <row r="88" spans="1:8" x14ac:dyDescent="0.2">
      <c r="A88">
        <v>10087</v>
      </c>
      <c r="B88" s="2">
        <v>46273</v>
      </c>
      <c r="C88" t="s">
        <v>25</v>
      </c>
      <c r="D88" t="s">
        <v>20</v>
      </c>
      <c r="E88" t="s">
        <v>15</v>
      </c>
      <c r="F88">
        <v>7</v>
      </c>
      <c r="G88" s="3">
        <v>35</v>
      </c>
      <c r="H88" s="3">
        <v>16</v>
      </c>
    </row>
    <row r="89" spans="1:8" x14ac:dyDescent="0.2">
      <c r="A89">
        <v>10088</v>
      </c>
      <c r="B89" s="2">
        <v>46086</v>
      </c>
      <c r="C89" t="s">
        <v>8</v>
      </c>
      <c r="D89" t="s">
        <v>9</v>
      </c>
      <c r="E89" t="s">
        <v>12</v>
      </c>
      <c r="F89">
        <v>2</v>
      </c>
      <c r="G89" s="3">
        <v>6</v>
      </c>
      <c r="H89" s="3">
        <v>2</v>
      </c>
    </row>
    <row r="90" spans="1:8" x14ac:dyDescent="0.2">
      <c r="A90">
        <v>10089</v>
      </c>
      <c r="B90" s="2">
        <v>46109</v>
      </c>
      <c r="C90" t="s">
        <v>25</v>
      </c>
      <c r="D90" t="s">
        <v>20</v>
      </c>
      <c r="E90" t="s">
        <v>21</v>
      </c>
      <c r="F90">
        <v>7</v>
      </c>
      <c r="G90" s="3">
        <v>35</v>
      </c>
      <c r="H90" s="3">
        <v>16</v>
      </c>
    </row>
    <row r="91" spans="1:8" x14ac:dyDescent="0.2">
      <c r="A91">
        <v>10090</v>
      </c>
      <c r="B91" s="2">
        <v>46230</v>
      </c>
      <c r="C91" t="s">
        <v>19</v>
      </c>
      <c r="D91" t="s">
        <v>20</v>
      </c>
      <c r="E91" t="s">
        <v>12</v>
      </c>
      <c r="F91">
        <v>3</v>
      </c>
      <c r="G91" s="3">
        <v>90</v>
      </c>
      <c r="H91" s="3">
        <v>49</v>
      </c>
    </row>
    <row r="92" spans="1:8" x14ac:dyDescent="0.2">
      <c r="A92">
        <v>10091</v>
      </c>
      <c r="B92" s="2">
        <v>46225</v>
      </c>
      <c r="C92" t="s">
        <v>18</v>
      </c>
      <c r="D92" t="s">
        <v>9</v>
      </c>
      <c r="E92" t="s">
        <v>21</v>
      </c>
      <c r="F92">
        <v>4</v>
      </c>
      <c r="G92" s="3">
        <v>8</v>
      </c>
      <c r="H92" s="3">
        <v>3</v>
      </c>
    </row>
    <row r="93" spans="1:8" x14ac:dyDescent="0.2">
      <c r="A93">
        <v>10092</v>
      </c>
      <c r="B93" s="2">
        <v>46262</v>
      </c>
      <c r="C93" t="s">
        <v>18</v>
      </c>
      <c r="D93" t="s">
        <v>9</v>
      </c>
      <c r="E93" t="s">
        <v>12</v>
      </c>
      <c r="F93">
        <v>7</v>
      </c>
      <c r="G93" s="3">
        <v>8</v>
      </c>
      <c r="H93" s="3">
        <v>3</v>
      </c>
    </row>
    <row r="94" spans="1:8" x14ac:dyDescent="0.2">
      <c r="A94">
        <v>10093</v>
      </c>
      <c r="B94" s="2">
        <v>46265</v>
      </c>
      <c r="C94" t="s">
        <v>25</v>
      </c>
      <c r="D94" t="s">
        <v>20</v>
      </c>
      <c r="E94" t="s">
        <v>15</v>
      </c>
      <c r="F94">
        <v>7</v>
      </c>
      <c r="G94" s="3">
        <v>35</v>
      </c>
      <c r="H94" s="3">
        <v>16</v>
      </c>
    </row>
    <row r="95" spans="1:8" x14ac:dyDescent="0.2">
      <c r="A95">
        <v>10094</v>
      </c>
      <c r="B95" s="2">
        <v>46075</v>
      </c>
      <c r="C95" t="s">
        <v>18</v>
      </c>
      <c r="D95" t="s">
        <v>9</v>
      </c>
      <c r="E95" t="s">
        <v>12</v>
      </c>
      <c r="F95">
        <v>2</v>
      </c>
      <c r="G95" s="3">
        <v>8</v>
      </c>
      <c r="H95" s="3">
        <v>3</v>
      </c>
    </row>
    <row r="96" spans="1:8" x14ac:dyDescent="0.2">
      <c r="A96">
        <v>10095</v>
      </c>
      <c r="B96" s="2">
        <v>46192</v>
      </c>
      <c r="C96" t="s">
        <v>16</v>
      </c>
      <c r="D96" t="s">
        <v>14</v>
      </c>
      <c r="E96" t="s">
        <v>21</v>
      </c>
      <c r="F96">
        <v>8</v>
      </c>
      <c r="G96" s="3">
        <v>120</v>
      </c>
      <c r="H96" s="3">
        <v>72</v>
      </c>
    </row>
    <row r="97" spans="1:8" x14ac:dyDescent="0.2">
      <c r="A97">
        <v>10096</v>
      </c>
      <c r="B97" s="2">
        <v>46233</v>
      </c>
      <c r="C97" t="s">
        <v>23</v>
      </c>
      <c r="D97" t="s">
        <v>20</v>
      </c>
      <c r="E97" t="s">
        <v>10</v>
      </c>
      <c r="F97">
        <v>4</v>
      </c>
      <c r="G97" s="3">
        <v>90</v>
      </c>
      <c r="H97" s="3">
        <v>49</v>
      </c>
    </row>
    <row r="98" spans="1:8" x14ac:dyDescent="0.2">
      <c r="A98">
        <v>10097</v>
      </c>
      <c r="B98" s="2">
        <v>46229</v>
      </c>
      <c r="C98" t="s">
        <v>18</v>
      </c>
      <c r="D98" t="s">
        <v>9</v>
      </c>
      <c r="E98" t="s">
        <v>12</v>
      </c>
      <c r="F98">
        <v>6</v>
      </c>
      <c r="G98" s="3">
        <v>8</v>
      </c>
      <c r="H98" s="3">
        <v>3</v>
      </c>
    </row>
    <row r="99" spans="1:8" x14ac:dyDescent="0.2">
      <c r="A99">
        <v>10098</v>
      </c>
      <c r="B99" s="2">
        <v>46070</v>
      </c>
      <c r="C99" t="s">
        <v>23</v>
      </c>
      <c r="D99" t="s">
        <v>20</v>
      </c>
      <c r="E99" t="s">
        <v>21</v>
      </c>
      <c r="F99">
        <v>5</v>
      </c>
      <c r="G99" s="3">
        <v>90</v>
      </c>
      <c r="H99" s="3">
        <v>49</v>
      </c>
    </row>
    <row r="100" spans="1:8" x14ac:dyDescent="0.2">
      <c r="A100">
        <v>10099</v>
      </c>
      <c r="B100" s="2">
        <v>46218</v>
      </c>
      <c r="C100" t="s">
        <v>11</v>
      </c>
      <c r="D100" t="s">
        <v>9</v>
      </c>
      <c r="E100" t="s">
        <v>21</v>
      </c>
      <c r="F100">
        <v>8</v>
      </c>
      <c r="G100" s="3">
        <v>12</v>
      </c>
      <c r="H100" s="3">
        <v>4</v>
      </c>
    </row>
    <row r="101" spans="1:8" x14ac:dyDescent="0.2">
      <c r="A101">
        <v>10100</v>
      </c>
      <c r="B101" s="2">
        <v>46275</v>
      </c>
      <c r="C101" t="s">
        <v>16</v>
      </c>
      <c r="D101" t="s">
        <v>14</v>
      </c>
      <c r="E101" t="s">
        <v>12</v>
      </c>
      <c r="F101">
        <v>1</v>
      </c>
      <c r="G101" s="3">
        <v>120</v>
      </c>
      <c r="H101" s="3">
        <v>72</v>
      </c>
    </row>
    <row r="102" spans="1:8" x14ac:dyDescent="0.2">
      <c r="A102">
        <v>10101</v>
      </c>
      <c r="B102" s="2">
        <v>46034</v>
      </c>
      <c r="C102" t="s">
        <v>16</v>
      </c>
      <c r="D102" t="s">
        <v>14</v>
      </c>
      <c r="E102" t="s">
        <v>21</v>
      </c>
      <c r="F102">
        <v>6</v>
      </c>
      <c r="G102" s="3">
        <v>120</v>
      </c>
      <c r="H102" s="3">
        <v>72</v>
      </c>
    </row>
    <row r="103" spans="1:8" x14ac:dyDescent="0.2">
      <c r="A103">
        <v>10102</v>
      </c>
      <c r="B103" s="2">
        <v>46158</v>
      </c>
      <c r="C103" t="s">
        <v>16</v>
      </c>
      <c r="D103" t="s">
        <v>14</v>
      </c>
      <c r="E103" t="s">
        <v>10</v>
      </c>
      <c r="F103">
        <v>2</v>
      </c>
      <c r="G103" s="3">
        <v>120</v>
      </c>
      <c r="H103" s="3">
        <v>72</v>
      </c>
    </row>
    <row r="104" spans="1:8" x14ac:dyDescent="0.2">
      <c r="A104">
        <v>10103</v>
      </c>
      <c r="B104" s="2">
        <v>46179</v>
      </c>
      <c r="C104" t="s">
        <v>18</v>
      </c>
      <c r="D104" t="s">
        <v>9</v>
      </c>
      <c r="E104" t="s">
        <v>15</v>
      </c>
      <c r="F104">
        <v>1</v>
      </c>
      <c r="G104" s="3">
        <v>8</v>
      </c>
      <c r="H104" s="3">
        <v>3</v>
      </c>
    </row>
    <row r="105" spans="1:8" x14ac:dyDescent="0.2">
      <c r="A105">
        <v>10104</v>
      </c>
      <c r="B105" s="2">
        <v>46256</v>
      </c>
      <c r="C105" t="s">
        <v>8</v>
      </c>
      <c r="D105" t="s">
        <v>9</v>
      </c>
      <c r="E105" t="s">
        <v>21</v>
      </c>
      <c r="F105">
        <v>8</v>
      </c>
      <c r="G105" s="3">
        <v>6</v>
      </c>
      <c r="H105" s="3">
        <v>2</v>
      </c>
    </row>
    <row r="106" spans="1:8" x14ac:dyDescent="0.2">
      <c r="A106">
        <v>10105</v>
      </c>
      <c r="B106" s="2">
        <v>46068</v>
      </c>
      <c r="C106" t="s">
        <v>17</v>
      </c>
      <c r="D106" t="s">
        <v>9</v>
      </c>
      <c r="E106" t="s">
        <v>12</v>
      </c>
      <c r="F106">
        <v>4</v>
      </c>
      <c r="G106" s="3">
        <v>45</v>
      </c>
      <c r="H106" s="3">
        <v>21</v>
      </c>
    </row>
    <row r="107" spans="1:8" x14ac:dyDescent="0.2">
      <c r="A107">
        <v>10106</v>
      </c>
      <c r="B107" s="2">
        <v>46063</v>
      </c>
      <c r="C107" t="s">
        <v>18</v>
      </c>
      <c r="D107" t="s">
        <v>9</v>
      </c>
      <c r="E107" t="s">
        <v>15</v>
      </c>
      <c r="F107">
        <v>7</v>
      </c>
      <c r="G107" s="3">
        <v>8</v>
      </c>
      <c r="H107" s="3">
        <v>3</v>
      </c>
    </row>
    <row r="108" spans="1:8" x14ac:dyDescent="0.2">
      <c r="A108">
        <v>10107</v>
      </c>
      <c r="B108" s="2">
        <v>46084</v>
      </c>
      <c r="C108" t="s">
        <v>8</v>
      </c>
      <c r="D108" t="s">
        <v>9</v>
      </c>
      <c r="E108" t="s">
        <v>12</v>
      </c>
      <c r="F108">
        <v>4</v>
      </c>
      <c r="G108" s="3">
        <v>6</v>
      </c>
      <c r="H108" s="3">
        <v>2</v>
      </c>
    </row>
    <row r="109" spans="1:8" x14ac:dyDescent="0.2">
      <c r="A109">
        <v>10108</v>
      </c>
      <c r="B109" s="2">
        <v>46100</v>
      </c>
      <c r="C109" t="s">
        <v>11</v>
      </c>
      <c r="D109" t="s">
        <v>9</v>
      </c>
      <c r="E109" t="s">
        <v>12</v>
      </c>
      <c r="F109">
        <v>1</v>
      </c>
      <c r="G109" s="3">
        <v>12</v>
      </c>
      <c r="H109" s="3">
        <v>4</v>
      </c>
    </row>
    <row r="110" spans="1:8" x14ac:dyDescent="0.2">
      <c r="A110">
        <v>10109</v>
      </c>
      <c r="B110" s="2">
        <v>46077</v>
      </c>
      <c r="C110" t="s">
        <v>17</v>
      </c>
      <c r="D110" t="s">
        <v>9</v>
      </c>
      <c r="E110" t="s">
        <v>21</v>
      </c>
      <c r="F110">
        <v>4</v>
      </c>
      <c r="G110" s="3">
        <v>45</v>
      </c>
      <c r="H110" s="3">
        <v>21</v>
      </c>
    </row>
    <row r="111" spans="1:8" x14ac:dyDescent="0.2">
      <c r="A111">
        <v>10110</v>
      </c>
      <c r="B111" s="2">
        <v>46173</v>
      </c>
      <c r="C111" t="s">
        <v>16</v>
      </c>
      <c r="D111" t="s">
        <v>14</v>
      </c>
      <c r="E111" t="s">
        <v>21</v>
      </c>
      <c r="F111">
        <v>3</v>
      </c>
      <c r="G111" s="3">
        <v>120</v>
      </c>
      <c r="H111" s="3">
        <v>72</v>
      </c>
    </row>
    <row r="112" spans="1:8" x14ac:dyDescent="0.2">
      <c r="A112">
        <v>10111</v>
      </c>
      <c r="B112" s="2">
        <v>46233</v>
      </c>
      <c r="C112" t="s">
        <v>23</v>
      </c>
      <c r="D112" t="s">
        <v>20</v>
      </c>
      <c r="E112" t="s">
        <v>21</v>
      </c>
      <c r="F112">
        <v>8</v>
      </c>
      <c r="G112" s="3">
        <v>90</v>
      </c>
      <c r="H112" s="3">
        <v>49</v>
      </c>
    </row>
    <row r="113" spans="1:8" x14ac:dyDescent="0.2">
      <c r="A113">
        <v>10112</v>
      </c>
      <c r="B113" s="2">
        <v>46105</v>
      </c>
      <c r="C113" t="s">
        <v>11</v>
      </c>
      <c r="D113" t="s">
        <v>9</v>
      </c>
      <c r="E113" t="s">
        <v>10</v>
      </c>
      <c r="F113">
        <v>2</v>
      </c>
      <c r="G113" s="3">
        <v>12</v>
      </c>
      <c r="H113" s="3">
        <v>4</v>
      </c>
    </row>
    <row r="114" spans="1:8" x14ac:dyDescent="0.2">
      <c r="A114">
        <v>10113</v>
      </c>
      <c r="B114" s="2">
        <v>46143</v>
      </c>
      <c r="C114" t="s">
        <v>25</v>
      </c>
      <c r="D114" t="s">
        <v>20</v>
      </c>
      <c r="E114" t="s">
        <v>10</v>
      </c>
      <c r="F114">
        <v>7</v>
      </c>
      <c r="G114" s="3">
        <v>35</v>
      </c>
      <c r="H114" s="3">
        <v>16</v>
      </c>
    </row>
    <row r="115" spans="1:8" x14ac:dyDescent="0.2">
      <c r="A115">
        <v>10114</v>
      </c>
      <c r="B115" s="2">
        <v>46230</v>
      </c>
      <c r="C115" t="s">
        <v>23</v>
      </c>
      <c r="D115" t="s">
        <v>20</v>
      </c>
      <c r="E115" t="s">
        <v>15</v>
      </c>
      <c r="F115">
        <v>8</v>
      </c>
      <c r="G115" s="3">
        <v>90</v>
      </c>
      <c r="H115" s="3">
        <v>49</v>
      </c>
    </row>
    <row r="116" spans="1:8" x14ac:dyDescent="0.2">
      <c r="A116">
        <v>10115</v>
      </c>
      <c r="B116" s="2">
        <v>46139</v>
      </c>
      <c r="C116" t="s">
        <v>25</v>
      </c>
      <c r="D116" t="s">
        <v>20</v>
      </c>
      <c r="E116" t="s">
        <v>21</v>
      </c>
      <c r="F116">
        <v>7</v>
      </c>
      <c r="G116" s="3">
        <v>35</v>
      </c>
      <c r="H116" s="3">
        <v>16</v>
      </c>
    </row>
    <row r="117" spans="1:8" x14ac:dyDescent="0.2">
      <c r="A117">
        <v>10116</v>
      </c>
      <c r="B117" s="2">
        <v>46210</v>
      </c>
      <c r="C117" t="s">
        <v>25</v>
      </c>
      <c r="D117" t="s">
        <v>20</v>
      </c>
      <c r="E117" t="s">
        <v>12</v>
      </c>
      <c r="F117">
        <v>1</v>
      </c>
      <c r="G117" s="3">
        <v>35</v>
      </c>
      <c r="H117" s="3">
        <v>16</v>
      </c>
    </row>
    <row r="118" spans="1:8" x14ac:dyDescent="0.2">
      <c r="A118">
        <v>10117</v>
      </c>
      <c r="B118" s="2">
        <v>46168</v>
      </c>
      <c r="C118" t="s">
        <v>16</v>
      </c>
      <c r="D118" t="s">
        <v>14</v>
      </c>
      <c r="E118" t="s">
        <v>28</v>
      </c>
      <c r="F118">
        <v>5</v>
      </c>
      <c r="G118" s="3">
        <v>120</v>
      </c>
      <c r="H118" s="3">
        <v>72</v>
      </c>
    </row>
    <row r="119" spans="1:8" x14ac:dyDescent="0.2">
      <c r="A119">
        <v>10118</v>
      </c>
      <c r="B119" s="2">
        <v>46138</v>
      </c>
      <c r="C119" t="s">
        <v>17</v>
      </c>
      <c r="D119" t="s">
        <v>9</v>
      </c>
      <c r="E119" t="s">
        <v>15</v>
      </c>
      <c r="F119">
        <v>2</v>
      </c>
      <c r="G119" s="3">
        <v>45</v>
      </c>
      <c r="H119" s="3">
        <v>21</v>
      </c>
    </row>
    <row r="120" spans="1:8" x14ac:dyDescent="0.2">
      <c r="A120">
        <v>10119</v>
      </c>
      <c r="B120" s="2">
        <v>46034</v>
      </c>
      <c r="C120" t="s">
        <v>18</v>
      </c>
      <c r="D120" t="s">
        <v>9</v>
      </c>
      <c r="E120" t="s">
        <v>21</v>
      </c>
      <c r="F120">
        <v>7</v>
      </c>
      <c r="G120" s="3">
        <v>8</v>
      </c>
      <c r="H120" s="3">
        <v>3</v>
      </c>
    </row>
    <row r="121" spans="1:8" x14ac:dyDescent="0.2">
      <c r="A121">
        <v>10120</v>
      </c>
      <c r="B121" s="2">
        <v>46170</v>
      </c>
      <c r="C121" t="s">
        <v>13</v>
      </c>
      <c r="D121" t="s">
        <v>14</v>
      </c>
      <c r="E121" t="s">
        <v>10</v>
      </c>
      <c r="F121">
        <v>7</v>
      </c>
      <c r="G121" s="3">
        <v>190</v>
      </c>
      <c r="H121" s="3">
        <v>112</v>
      </c>
    </row>
    <row r="122" spans="1:8" x14ac:dyDescent="0.2">
      <c r="A122">
        <v>10121</v>
      </c>
      <c r="B122" s="2">
        <v>46287</v>
      </c>
      <c r="C122" t="s">
        <v>25</v>
      </c>
      <c r="D122" t="s">
        <v>20</v>
      </c>
      <c r="E122" t="s">
        <v>12</v>
      </c>
      <c r="F122">
        <v>1</v>
      </c>
      <c r="G122" s="3">
        <v>35</v>
      </c>
      <c r="H122" s="3">
        <v>16</v>
      </c>
    </row>
    <row r="123" spans="1:8" x14ac:dyDescent="0.2">
      <c r="A123">
        <v>10122</v>
      </c>
      <c r="B123" s="2">
        <v>46029</v>
      </c>
      <c r="C123" t="s">
        <v>25</v>
      </c>
      <c r="D123" t="s">
        <v>20</v>
      </c>
      <c r="E123" t="s">
        <v>15</v>
      </c>
      <c r="F123">
        <v>2</v>
      </c>
      <c r="G123" s="3">
        <v>35</v>
      </c>
      <c r="H123" s="3">
        <v>16</v>
      </c>
    </row>
    <row r="124" spans="1:8" x14ac:dyDescent="0.2">
      <c r="A124">
        <v>10123</v>
      </c>
      <c r="B124" s="2">
        <v>46113</v>
      </c>
      <c r="C124" t="s">
        <v>25</v>
      </c>
      <c r="D124" t="s">
        <v>20</v>
      </c>
      <c r="E124" t="s">
        <v>12</v>
      </c>
      <c r="F124">
        <v>3</v>
      </c>
      <c r="G124" s="3">
        <v>35</v>
      </c>
      <c r="H124" s="3">
        <v>16</v>
      </c>
    </row>
    <row r="125" spans="1:8" x14ac:dyDescent="0.2">
      <c r="A125">
        <v>10124</v>
      </c>
      <c r="B125" s="2">
        <v>46131</v>
      </c>
      <c r="C125" t="s">
        <v>17</v>
      </c>
      <c r="D125" t="s">
        <v>9</v>
      </c>
      <c r="E125" t="s">
        <v>12</v>
      </c>
      <c r="F125">
        <v>8</v>
      </c>
      <c r="G125" s="3">
        <v>45</v>
      </c>
      <c r="H125" s="3">
        <v>21</v>
      </c>
    </row>
    <row r="126" spans="1:8" x14ac:dyDescent="0.2">
      <c r="A126">
        <v>10125</v>
      </c>
      <c r="B126" s="2">
        <v>46102</v>
      </c>
      <c r="C126" t="s">
        <v>23</v>
      </c>
      <c r="D126" t="s">
        <v>20</v>
      </c>
      <c r="E126" t="s">
        <v>15</v>
      </c>
      <c r="F126">
        <v>6</v>
      </c>
      <c r="G126" s="3">
        <v>90</v>
      </c>
      <c r="H126" s="3">
        <v>49</v>
      </c>
    </row>
    <row r="127" spans="1:8" x14ac:dyDescent="0.2">
      <c r="A127">
        <v>10126</v>
      </c>
      <c r="B127" s="2">
        <v>46056</v>
      </c>
      <c r="C127" t="s">
        <v>16</v>
      </c>
      <c r="D127" t="s">
        <v>14</v>
      </c>
      <c r="E127" t="s">
        <v>15</v>
      </c>
      <c r="F127">
        <v>5</v>
      </c>
      <c r="G127" s="3">
        <v>120</v>
      </c>
      <c r="H127" s="3">
        <v>72</v>
      </c>
    </row>
    <row r="128" spans="1:8" x14ac:dyDescent="0.2">
      <c r="A128">
        <v>10127</v>
      </c>
      <c r="B128" s="2">
        <v>46231</v>
      </c>
      <c r="C128" t="s">
        <v>13</v>
      </c>
      <c r="D128" t="s">
        <v>14</v>
      </c>
      <c r="E128" t="s">
        <v>12</v>
      </c>
      <c r="F128">
        <v>2</v>
      </c>
      <c r="G128" s="3">
        <v>190</v>
      </c>
      <c r="H128" s="3">
        <v>112</v>
      </c>
    </row>
    <row r="129" spans="1:8" x14ac:dyDescent="0.2">
      <c r="A129">
        <v>10128</v>
      </c>
      <c r="B129" s="2">
        <v>46038</v>
      </c>
      <c r="C129" t="s">
        <v>17</v>
      </c>
      <c r="D129" t="s">
        <v>9</v>
      </c>
      <c r="E129" t="s">
        <v>10</v>
      </c>
      <c r="F129">
        <v>7</v>
      </c>
      <c r="G129" s="3">
        <v>45</v>
      </c>
      <c r="H129" s="3">
        <v>21</v>
      </c>
    </row>
    <row r="130" spans="1:8" x14ac:dyDescent="0.2">
      <c r="A130">
        <v>10129</v>
      </c>
      <c r="B130" s="2">
        <v>46054</v>
      </c>
      <c r="C130" t="s">
        <v>8</v>
      </c>
      <c r="D130" t="s">
        <v>9</v>
      </c>
      <c r="E130" t="s">
        <v>10</v>
      </c>
      <c r="F130">
        <v>6</v>
      </c>
      <c r="G130" s="3">
        <v>6</v>
      </c>
      <c r="H130" s="3">
        <v>2</v>
      </c>
    </row>
    <row r="131" spans="1:8" x14ac:dyDescent="0.2">
      <c r="A131">
        <v>10130</v>
      </c>
      <c r="B131" s="2">
        <v>46058</v>
      </c>
      <c r="C131" t="s">
        <v>25</v>
      </c>
      <c r="D131" t="s">
        <v>20</v>
      </c>
      <c r="E131" t="s">
        <v>10</v>
      </c>
      <c r="F131">
        <v>8</v>
      </c>
      <c r="G131" s="3">
        <v>35</v>
      </c>
      <c r="H131" s="3">
        <v>16</v>
      </c>
    </row>
    <row r="132" spans="1:8" x14ac:dyDescent="0.2">
      <c r="A132">
        <v>10131</v>
      </c>
      <c r="B132" s="2">
        <v>46055</v>
      </c>
      <c r="C132" t="s">
        <v>18</v>
      </c>
      <c r="D132" t="s">
        <v>9</v>
      </c>
      <c r="E132" t="s">
        <v>15</v>
      </c>
      <c r="F132">
        <v>4</v>
      </c>
      <c r="G132" s="3">
        <v>8</v>
      </c>
      <c r="H132" s="3">
        <v>3</v>
      </c>
    </row>
    <row r="133" spans="1:8" x14ac:dyDescent="0.2">
      <c r="A133">
        <v>10132</v>
      </c>
      <c r="B133" s="2">
        <v>46210</v>
      </c>
      <c r="C133" t="s">
        <v>23</v>
      </c>
      <c r="D133" t="s">
        <v>20</v>
      </c>
      <c r="E133" t="s">
        <v>10</v>
      </c>
      <c r="F133">
        <v>4</v>
      </c>
      <c r="G133" s="3">
        <v>90</v>
      </c>
      <c r="H133" s="3">
        <v>49</v>
      </c>
    </row>
    <row r="134" spans="1:8" x14ac:dyDescent="0.2">
      <c r="A134">
        <v>10133</v>
      </c>
      <c r="B134" s="2">
        <v>46247</v>
      </c>
      <c r="C134" t="s">
        <v>11</v>
      </c>
      <c r="D134" t="s">
        <v>9</v>
      </c>
      <c r="E134" t="s">
        <v>21</v>
      </c>
      <c r="F134">
        <v>8</v>
      </c>
      <c r="G134" s="3">
        <v>12</v>
      </c>
      <c r="H134" s="3">
        <v>4</v>
      </c>
    </row>
    <row r="135" spans="1:8" x14ac:dyDescent="0.2">
      <c r="A135">
        <v>10134</v>
      </c>
      <c r="B135" s="2">
        <v>46210</v>
      </c>
      <c r="C135" t="s">
        <v>23</v>
      </c>
      <c r="D135" t="s">
        <v>20</v>
      </c>
      <c r="E135" t="s">
        <v>12</v>
      </c>
      <c r="F135">
        <v>7</v>
      </c>
      <c r="G135" s="3">
        <v>90</v>
      </c>
      <c r="H135" s="3">
        <v>49</v>
      </c>
    </row>
    <row r="136" spans="1:8" x14ac:dyDescent="0.2">
      <c r="A136">
        <v>10135</v>
      </c>
      <c r="B136" s="2">
        <v>46195</v>
      </c>
      <c r="C136" t="s">
        <v>16</v>
      </c>
      <c r="D136" t="s">
        <v>14</v>
      </c>
      <c r="E136" t="s">
        <v>12</v>
      </c>
      <c r="F136">
        <v>2</v>
      </c>
      <c r="G136" s="3">
        <v>120</v>
      </c>
      <c r="H136" s="3">
        <v>72</v>
      </c>
    </row>
    <row r="137" spans="1:8" x14ac:dyDescent="0.2">
      <c r="A137">
        <v>10136</v>
      </c>
      <c r="B137" s="2">
        <v>46265</v>
      </c>
      <c r="C137" t="s">
        <v>25</v>
      </c>
      <c r="D137" t="s">
        <v>20</v>
      </c>
      <c r="E137" t="s">
        <v>12</v>
      </c>
      <c r="F137">
        <v>7</v>
      </c>
      <c r="G137" s="3">
        <v>35</v>
      </c>
      <c r="H137" s="3">
        <v>16</v>
      </c>
    </row>
    <row r="138" spans="1:8" x14ac:dyDescent="0.2">
      <c r="A138">
        <v>10137</v>
      </c>
      <c r="B138" s="2">
        <v>46045</v>
      </c>
      <c r="C138" t="s">
        <v>29</v>
      </c>
      <c r="D138" t="s">
        <v>9</v>
      </c>
      <c r="E138" t="s">
        <v>10</v>
      </c>
      <c r="F138">
        <v>2</v>
      </c>
      <c r="G138" s="3">
        <v>6</v>
      </c>
      <c r="H138" s="3">
        <v>2</v>
      </c>
    </row>
    <row r="139" spans="1:8" x14ac:dyDescent="0.2">
      <c r="A139">
        <v>10138</v>
      </c>
      <c r="B139" s="2">
        <v>46217</v>
      </c>
      <c r="C139" t="s">
        <v>18</v>
      </c>
      <c r="D139" t="s">
        <v>9</v>
      </c>
      <c r="E139" t="s">
        <v>21</v>
      </c>
      <c r="F139">
        <v>6</v>
      </c>
      <c r="G139" s="3">
        <v>8</v>
      </c>
      <c r="H139" s="3">
        <v>3</v>
      </c>
    </row>
    <row r="140" spans="1:8" x14ac:dyDescent="0.2">
      <c r="A140">
        <v>10139</v>
      </c>
      <c r="B140" s="2">
        <v>46127</v>
      </c>
      <c r="C140" t="s">
        <v>11</v>
      </c>
      <c r="D140" t="s">
        <v>9</v>
      </c>
      <c r="E140" t="s">
        <v>15</v>
      </c>
      <c r="F140">
        <v>6</v>
      </c>
      <c r="G140" s="3">
        <v>12</v>
      </c>
      <c r="H140" s="3">
        <v>4</v>
      </c>
    </row>
    <row r="141" spans="1:8" x14ac:dyDescent="0.2">
      <c r="A141">
        <v>10140</v>
      </c>
      <c r="B141" s="2">
        <v>46150</v>
      </c>
      <c r="C141" t="s">
        <v>17</v>
      </c>
      <c r="D141" t="s">
        <v>9</v>
      </c>
      <c r="E141" t="s">
        <v>10</v>
      </c>
      <c r="F141">
        <v>1</v>
      </c>
      <c r="G141" s="3">
        <v>45</v>
      </c>
      <c r="H141" s="3">
        <v>21</v>
      </c>
    </row>
    <row r="142" spans="1:8" x14ac:dyDescent="0.2">
      <c r="A142">
        <v>10141</v>
      </c>
      <c r="B142" s="2">
        <v>46278</v>
      </c>
      <c r="C142" t="s">
        <v>11</v>
      </c>
      <c r="D142" t="s">
        <v>9</v>
      </c>
      <c r="E142" t="s">
        <v>12</v>
      </c>
      <c r="F142">
        <v>8</v>
      </c>
      <c r="G142" s="3">
        <v>12</v>
      </c>
      <c r="H142" s="3">
        <v>4</v>
      </c>
    </row>
    <row r="143" spans="1:8" x14ac:dyDescent="0.2">
      <c r="A143">
        <v>10142</v>
      </c>
      <c r="B143" s="2">
        <v>46094</v>
      </c>
      <c r="C143" t="s">
        <v>11</v>
      </c>
      <c r="D143" t="s">
        <v>9</v>
      </c>
      <c r="E143" t="s">
        <v>12</v>
      </c>
      <c r="F143">
        <v>7</v>
      </c>
      <c r="G143" s="3">
        <v>12</v>
      </c>
      <c r="H143" s="3">
        <v>4</v>
      </c>
    </row>
    <row r="144" spans="1:8" x14ac:dyDescent="0.2">
      <c r="A144">
        <v>10143</v>
      </c>
      <c r="B144" s="2">
        <v>46245</v>
      </c>
      <c r="C144" t="s">
        <v>23</v>
      </c>
      <c r="D144" t="s">
        <v>20</v>
      </c>
      <c r="E144" t="s">
        <v>21</v>
      </c>
      <c r="F144">
        <v>5</v>
      </c>
      <c r="G144" s="3">
        <v>90</v>
      </c>
      <c r="H144" s="3">
        <v>49</v>
      </c>
    </row>
    <row r="145" spans="1:8" x14ac:dyDescent="0.2">
      <c r="A145">
        <v>10144</v>
      </c>
      <c r="B145" s="2">
        <v>46141</v>
      </c>
      <c r="C145" t="s">
        <v>11</v>
      </c>
      <c r="D145" t="s">
        <v>9</v>
      </c>
      <c r="E145" t="s">
        <v>12</v>
      </c>
      <c r="F145">
        <v>6</v>
      </c>
      <c r="G145" s="3">
        <v>12</v>
      </c>
      <c r="H145" s="3">
        <v>4</v>
      </c>
    </row>
    <row r="146" spans="1:8" x14ac:dyDescent="0.2">
      <c r="A146">
        <v>10145</v>
      </c>
      <c r="B146" s="2">
        <v>46179</v>
      </c>
      <c r="C146" t="s">
        <v>16</v>
      </c>
      <c r="D146" t="s">
        <v>14</v>
      </c>
      <c r="E146" t="s">
        <v>12</v>
      </c>
      <c r="F146">
        <v>8</v>
      </c>
      <c r="G146" s="3">
        <v>120</v>
      </c>
      <c r="H146" s="3">
        <v>72</v>
      </c>
    </row>
    <row r="147" spans="1:8" x14ac:dyDescent="0.2">
      <c r="A147">
        <v>10146</v>
      </c>
      <c r="B147" s="2">
        <v>46196</v>
      </c>
      <c r="C147" t="s">
        <v>18</v>
      </c>
      <c r="D147" t="s">
        <v>9</v>
      </c>
      <c r="E147" t="s">
        <v>21</v>
      </c>
      <c r="F147">
        <v>5</v>
      </c>
      <c r="G147" s="3">
        <v>8</v>
      </c>
      <c r="H147" s="3">
        <v>3</v>
      </c>
    </row>
    <row r="148" spans="1:8" x14ac:dyDescent="0.2">
      <c r="A148">
        <v>10147</v>
      </c>
      <c r="B148" s="2">
        <v>46189</v>
      </c>
      <c r="C148" t="s">
        <v>13</v>
      </c>
      <c r="D148" t="s">
        <v>14</v>
      </c>
      <c r="E148" t="s">
        <v>10</v>
      </c>
      <c r="F148">
        <v>3</v>
      </c>
      <c r="G148" s="3">
        <v>190</v>
      </c>
      <c r="H148" s="3">
        <v>112</v>
      </c>
    </row>
    <row r="149" spans="1:8" x14ac:dyDescent="0.2">
      <c r="A149">
        <v>10148</v>
      </c>
      <c r="B149" s="2">
        <v>46190</v>
      </c>
      <c r="C149" t="s">
        <v>18</v>
      </c>
      <c r="D149" t="s">
        <v>9</v>
      </c>
      <c r="E149" t="s">
        <v>10</v>
      </c>
      <c r="F149">
        <v>1</v>
      </c>
      <c r="G149" s="3">
        <v>8</v>
      </c>
      <c r="H149" s="3">
        <v>3</v>
      </c>
    </row>
    <row r="150" spans="1:8" x14ac:dyDescent="0.2">
      <c r="A150">
        <v>10149</v>
      </c>
      <c r="B150" s="2">
        <v>46030</v>
      </c>
      <c r="C150" t="s">
        <v>11</v>
      </c>
      <c r="D150" t="s">
        <v>9</v>
      </c>
      <c r="E150" t="s">
        <v>21</v>
      </c>
      <c r="F150">
        <v>1</v>
      </c>
      <c r="G150" s="3">
        <v>12</v>
      </c>
      <c r="H150" s="3">
        <v>4</v>
      </c>
    </row>
    <row r="151" spans="1:8" x14ac:dyDescent="0.2">
      <c r="A151">
        <v>10150</v>
      </c>
      <c r="B151" s="2">
        <v>46118</v>
      </c>
      <c r="C151" t="s">
        <v>17</v>
      </c>
      <c r="D151" t="s">
        <v>9</v>
      </c>
      <c r="E151" t="s">
        <v>15</v>
      </c>
      <c r="F151">
        <v>7</v>
      </c>
      <c r="G151" s="3">
        <v>45</v>
      </c>
      <c r="H151" s="3">
        <v>21</v>
      </c>
    </row>
    <row r="152" spans="1:8" x14ac:dyDescent="0.2">
      <c r="A152">
        <v>10151</v>
      </c>
      <c r="B152" s="2">
        <v>46045</v>
      </c>
      <c r="C152" t="s">
        <v>25</v>
      </c>
      <c r="D152" t="s">
        <v>20</v>
      </c>
      <c r="E152" t="s">
        <v>10</v>
      </c>
      <c r="F152">
        <v>3</v>
      </c>
      <c r="G152" s="3">
        <v>35</v>
      </c>
      <c r="H152" s="3">
        <v>16</v>
      </c>
    </row>
    <row r="153" spans="1:8" x14ac:dyDescent="0.2">
      <c r="A153">
        <v>10152</v>
      </c>
      <c r="B153" s="2">
        <v>46106</v>
      </c>
      <c r="C153" t="s">
        <v>25</v>
      </c>
      <c r="D153" t="s">
        <v>20</v>
      </c>
      <c r="E153" t="s">
        <v>22</v>
      </c>
      <c r="F153">
        <v>2</v>
      </c>
      <c r="G153" s="3">
        <v>35</v>
      </c>
      <c r="H153" s="3">
        <v>16</v>
      </c>
    </row>
    <row r="154" spans="1:8" x14ac:dyDescent="0.2">
      <c r="A154">
        <v>10153</v>
      </c>
      <c r="B154" s="2">
        <v>46208</v>
      </c>
      <c r="C154" t="s">
        <v>11</v>
      </c>
      <c r="D154" t="s">
        <v>9</v>
      </c>
      <c r="E154" t="s">
        <v>15</v>
      </c>
      <c r="F154">
        <v>3</v>
      </c>
      <c r="G154" s="3">
        <v>12</v>
      </c>
      <c r="H154" s="3">
        <v>4</v>
      </c>
    </row>
    <row r="155" spans="1:8" x14ac:dyDescent="0.2">
      <c r="A155">
        <v>10154</v>
      </c>
      <c r="B155" s="2">
        <v>46286</v>
      </c>
      <c r="C155" t="s">
        <v>17</v>
      </c>
      <c r="D155" t="s">
        <v>9</v>
      </c>
      <c r="E155" t="s">
        <v>15</v>
      </c>
      <c r="F155">
        <v>3</v>
      </c>
      <c r="G155" s="3">
        <v>45</v>
      </c>
      <c r="H155" s="3">
        <v>21</v>
      </c>
    </row>
    <row r="156" spans="1:8" x14ac:dyDescent="0.2">
      <c r="A156">
        <v>10155</v>
      </c>
      <c r="B156" s="2">
        <v>46244</v>
      </c>
      <c r="C156" t="s">
        <v>11</v>
      </c>
      <c r="D156" t="s">
        <v>9</v>
      </c>
      <c r="E156" t="s">
        <v>12</v>
      </c>
      <c r="F156">
        <v>6</v>
      </c>
      <c r="G156" s="3">
        <v>12</v>
      </c>
      <c r="H156" s="3">
        <v>4</v>
      </c>
    </row>
    <row r="157" spans="1:8" x14ac:dyDescent="0.2">
      <c r="A157">
        <v>10156</v>
      </c>
      <c r="B157" s="2">
        <v>46055</v>
      </c>
      <c r="C157" t="s">
        <v>11</v>
      </c>
      <c r="D157" t="s">
        <v>9</v>
      </c>
      <c r="E157" t="s">
        <v>12</v>
      </c>
      <c r="F157">
        <v>3</v>
      </c>
      <c r="G157" s="3">
        <v>12</v>
      </c>
      <c r="H157" s="3">
        <v>4</v>
      </c>
    </row>
    <row r="158" spans="1:8" x14ac:dyDescent="0.2">
      <c r="A158">
        <v>10157</v>
      </c>
      <c r="B158" s="2">
        <v>46158</v>
      </c>
      <c r="C158" t="s">
        <v>23</v>
      </c>
      <c r="D158" t="s">
        <v>20</v>
      </c>
      <c r="E158" t="s">
        <v>15</v>
      </c>
      <c r="F158">
        <v>8</v>
      </c>
      <c r="G158" s="3">
        <v>90</v>
      </c>
      <c r="H158" s="3">
        <v>49</v>
      </c>
    </row>
    <row r="159" spans="1:8" x14ac:dyDescent="0.2">
      <c r="A159">
        <v>10158</v>
      </c>
      <c r="B159" s="2">
        <v>46184</v>
      </c>
      <c r="C159" t="s">
        <v>16</v>
      </c>
      <c r="D159" t="s">
        <v>14</v>
      </c>
      <c r="E159" t="s">
        <v>12</v>
      </c>
      <c r="F159">
        <v>8</v>
      </c>
      <c r="G159" s="3">
        <v>120</v>
      </c>
      <c r="H159" s="3">
        <v>72</v>
      </c>
    </row>
    <row r="160" spans="1:8" x14ac:dyDescent="0.2">
      <c r="A160">
        <v>10159</v>
      </c>
      <c r="B160" s="2">
        <v>46032</v>
      </c>
      <c r="C160" t="s">
        <v>25</v>
      </c>
      <c r="D160" t="s">
        <v>20</v>
      </c>
      <c r="E160" t="s">
        <v>15</v>
      </c>
      <c r="F160">
        <v>5</v>
      </c>
      <c r="G160" s="3">
        <v>35</v>
      </c>
      <c r="H160" s="3">
        <v>16</v>
      </c>
    </row>
    <row r="161" spans="1:8" x14ac:dyDescent="0.2">
      <c r="A161">
        <v>10160</v>
      </c>
      <c r="B161" s="2">
        <v>46034</v>
      </c>
      <c r="C161" t="s">
        <v>23</v>
      </c>
      <c r="D161" t="s">
        <v>20</v>
      </c>
      <c r="E161" t="s">
        <v>15</v>
      </c>
      <c r="F161">
        <v>7</v>
      </c>
      <c r="G161" s="3">
        <v>90</v>
      </c>
      <c r="H161" s="3">
        <v>49</v>
      </c>
    </row>
    <row r="162" spans="1:8" x14ac:dyDescent="0.2">
      <c r="A162">
        <v>10161</v>
      </c>
      <c r="B162" s="2">
        <v>46276</v>
      </c>
      <c r="C162" t="s">
        <v>13</v>
      </c>
      <c r="D162" t="s">
        <v>14</v>
      </c>
      <c r="E162" t="s">
        <v>12</v>
      </c>
      <c r="F162">
        <v>6</v>
      </c>
      <c r="G162" s="3">
        <v>190</v>
      </c>
      <c r="H162" s="3">
        <v>112</v>
      </c>
    </row>
    <row r="163" spans="1:8" x14ac:dyDescent="0.2">
      <c r="A163">
        <v>10162</v>
      </c>
      <c r="B163" s="2">
        <v>46227</v>
      </c>
      <c r="C163" t="s">
        <v>16</v>
      </c>
      <c r="D163" t="s">
        <v>14</v>
      </c>
      <c r="E163" t="s">
        <v>15</v>
      </c>
      <c r="F163">
        <v>2</v>
      </c>
      <c r="G163" s="3">
        <v>120</v>
      </c>
      <c r="H163" s="3">
        <v>72</v>
      </c>
    </row>
    <row r="164" spans="1:8" x14ac:dyDescent="0.2">
      <c r="A164">
        <v>10163</v>
      </c>
      <c r="B164" s="2">
        <v>46133</v>
      </c>
      <c r="C164" t="s">
        <v>8</v>
      </c>
      <c r="D164" t="s">
        <v>9</v>
      </c>
      <c r="E164" t="s">
        <v>21</v>
      </c>
      <c r="F164">
        <v>5</v>
      </c>
      <c r="G164" s="3">
        <v>6</v>
      </c>
      <c r="H164" s="3">
        <v>2</v>
      </c>
    </row>
    <row r="165" spans="1:8" x14ac:dyDescent="0.2">
      <c r="A165">
        <v>10164</v>
      </c>
      <c r="B165" s="2">
        <v>46253</v>
      </c>
      <c r="C165" t="s">
        <v>8</v>
      </c>
      <c r="D165" t="s">
        <v>9</v>
      </c>
      <c r="E165" t="s">
        <v>15</v>
      </c>
      <c r="F165">
        <v>1</v>
      </c>
      <c r="G165" s="3"/>
      <c r="H165" s="3">
        <v>2</v>
      </c>
    </row>
    <row r="166" spans="1:8" x14ac:dyDescent="0.2">
      <c r="A166">
        <v>10165</v>
      </c>
      <c r="B166" s="2">
        <v>46248</v>
      </c>
      <c r="C166" t="s">
        <v>18</v>
      </c>
      <c r="D166" t="s">
        <v>9</v>
      </c>
      <c r="E166" t="s">
        <v>12</v>
      </c>
      <c r="F166">
        <v>7</v>
      </c>
      <c r="G166" s="3">
        <v>8</v>
      </c>
      <c r="H166" s="3">
        <v>3</v>
      </c>
    </row>
    <row r="167" spans="1:8" x14ac:dyDescent="0.2">
      <c r="A167">
        <v>10166</v>
      </c>
      <c r="B167" s="2">
        <v>46200</v>
      </c>
      <c r="C167" t="s">
        <v>18</v>
      </c>
      <c r="D167" t="s">
        <v>9</v>
      </c>
      <c r="E167" t="s">
        <v>15</v>
      </c>
      <c r="F167">
        <v>6</v>
      </c>
      <c r="G167" s="3">
        <v>8</v>
      </c>
      <c r="H167" s="3">
        <v>3</v>
      </c>
    </row>
    <row r="168" spans="1:8" x14ac:dyDescent="0.2">
      <c r="A168">
        <v>10167</v>
      </c>
      <c r="B168" s="2">
        <v>46132</v>
      </c>
      <c r="C168" t="s">
        <v>17</v>
      </c>
      <c r="D168" t="s">
        <v>9</v>
      </c>
      <c r="E168" t="s">
        <v>15</v>
      </c>
      <c r="F168">
        <v>7</v>
      </c>
      <c r="G168" s="3">
        <v>45</v>
      </c>
      <c r="H168" s="3">
        <v>21</v>
      </c>
    </row>
    <row r="169" spans="1:8" x14ac:dyDescent="0.2">
      <c r="A169">
        <v>10168</v>
      </c>
      <c r="B169" s="2">
        <v>46190</v>
      </c>
      <c r="C169" t="s">
        <v>18</v>
      </c>
      <c r="D169" t="s">
        <v>9</v>
      </c>
      <c r="E169" t="s">
        <v>12</v>
      </c>
      <c r="F169">
        <v>7</v>
      </c>
      <c r="G169" s="3">
        <v>8</v>
      </c>
      <c r="H169" s="3">
        <v>3</v>
      </c>
    </row>
    <row r="170" spans="1:8" x14ac:dyDescent="0.2">
      <c r="A170">
        <v>10169</v>
      </c>
      <c r="B170" s="2">
        <v>46284</v>
      </c>
      <c r="C170" t="s">
        <v>8</v>
      </c>
      <c r="D170" t="s">
        <v>9</v>
      </c>
      <c r="E170" t="s">
        <v>15</v>
      </c>
      <c r="F170">
        <v>6</v>
      </c>
      <c r="G170" s="3">
        <v>6</v>
      </c>
      <c r="H170" s="3">
        <v>2</v>
      </c>
    </row>
    <row r="171" spans="1:8" x14ac:dyDescent="0.2">
      <c r="A171">
        <v>10170</v>
      </c>
      <c r="B171" s="2">
        <v>46190</v>
      </c>
      <c r="C171" t="s">
        <v>16</v>
      </c>
      <c r="D171" t="s">
        <v>14</v>
      </c>
      <c r="E171" t="s">
        <v>12</v>
      </c>
      <c r="F171">
        <v>5</v>
      </c>
      <c r="G171" s="3">
        <v>120</v>
      </c>
      <c r="H171" s="3">
        <v>72</v>
      </c>
    </row>
    <row r="172" spans="1:8" x14ac:dyDescent="0.2">
      <c r="A172">
        <v>10171</v>
      </c>
      <c r="B172" s="2">
        <v>46270</v>
      </c>
      <c r="C172" t="s">
        <v>8</v>
      </c>
      <c r="D172" t="s">
        <v>9</v>
      </c>
      <c r="E172" t="s">
        <v>12</v>
      </c>
      <c r="F172">
        <v>3</v>
      </c>
      <c r="G172" s="3">
        <v>6</v>
      </c>
      <c r="H172" s="3">
        <v>2</v>
      </c>
    </row>
    <row r="173" spans="1:8" x14ac:dyDescent="0.2">
      <c r="A173">
        <v>10172</v>
      </c>
      <c r="B173" s="2">
        <v>46197</v>
      </c>
      <c r="C173" t="s">
        <v>16</v>
      </c>
      <c r="D173" t="s">
        <v>14</v>
      </c>
      <c r="E173" t="s">
        <v>15</v>
      </c>
      <c r="F173">
        <v>7</v>
      </c>
      <c r="G173" s="3">
        <v>120</v>
      </c>
      <c r="H173" s="3">
        <v>72</v>
      </c>
    </row>
    <row r="174" spans="1:8" x14ac:dyDescent="0.2">
      <c r="A174">
        <v>10173</v>
      </c>
      <c r="B174" s="2">
        <v>46289</v>
      </c>
      <c r="C174" t="s">
        <v>13</v>
      </c>
      <c r="D174" t="s">
        <v>14</v>
      </c>
      <c r="E174" t="s">
        <v>12</v>
      </c>
      <c r="F174">
        <v>7</v>
      </c>
      <c r="G174" s="3">
        <v>190</v>
      </c>
      <c r="H174" s="3">
        <v>112</v>
      </c>
    </row>
    <row r="175" spans="1:8" x14ac:dyDescent="0.2">
      <c r="A175">
        <v>10174</v>
      </c>
      <c r="B175" s="2">
        <v>46295</v>
      </c>
      <c r="C175" t="s">
        <v>8</v>
      </c>
      <c r="D175" t="s">
        <v>9</v>
      </c>
      <c r="E175" t="s">
        <v>10</v>
      </c>
      <c r="F175">
        <v>5</v>
      </c>
      <c r="G175" s="3">
        <v>6</v>
      </c>
      <c r="H175" s="3">
        <v>2</v>
      </c>
    </row>
    <row r="176" spans="1:8" x14ac:dyDescent="0.2">
      <c r="A176">
        <v>10175</v>
      </c>
      <c r="B176" s="2">
        <v>46065</v>
      </c>
      <c r="C176" t="s">
        <v>18</v>
      </c>
      <c r="D176" t="s">
        <v>9</v>
      </c>
      <c r="E176" t="s">
        <v>21</v>
      </c>
      <c r="F176">
        <v>4</v>
      </c>
      <c r="G176" s="3">
        <v>8</v>
      </c>
      <c r="H176" s="3">
        <v>3</v>
      </c>
    </row>
    <row r="177" spans="1:8" x14ac:dyDescent="0.2">
      <c r="A177">
        <v>10176</v>
      </c>
      <c r="B177" s="2">
        <v>46153</v>
      </c>
      <c r="C177" t="s">
        <v>25</v>
      </c>
      <c r="D177" t="s">
        <v>20</v>
      </c>
      <c r="E177" t="s">
        <v>10</v>
      </c>
      <c r="F177">
        <v>4</v>
      </c>
      <c r="G177" s="3">
        <v>35</v>
      </c>
      <c r="H177" s="3">
        <v>16</v>
      </c>
    </row>
    <row r="178" spans="1:8" x14ac:dyDescent="0.2">
      <c r="A178">
        <v>10177</v>
      </c>
      <c r="B178" s="2">
        <v>46188</v>
      </c>
      <c r="C178" t="s">
        <v>8</v>
      </c>
      <c r="D178" t="s">
        <v>9</v>
      </c>
      <c r="E178" t="s">
        <v>10</v>
      </c>
      <c r="F178">
        <v>5</v>
      </c>
      <c r="G178" s="3">
        <v>6</v>
      </c>
      <c r="H178" s="3">
        <v>2</v>
      </c>
    </row>
    <row r="179" spans="1:8" x14ac:dyDescent="0.2">
      <c r="A179">
        <v>10178</v>
      </c>
      <c r="B179" s="2">
        <v>46164</v>
      </c>
      <c r="C179" t="s">
        <v>18</v>
      </c>
      <c r="D179" t="s">
        <v>9</v>
      </c>
      <c r="E179" t="s">
        <v>10</v>
      </c>
      <c r="F179">
        <v>3</v>
      </c>
      <c r="G179" s="3">
        <v>8</v>
      </c>
      <c r="H179" s="3">
        <v>3</v>
      </c>
    </row>
    <row r="180" spans="1:8" x14ac:dyDescent="0.2">
      <c r="A180">
        <v>10179</v>
      </c>
      <c r="B180" s="2">
        <v>46141</v>
      </c>
      <c r="C180" t="s">
        <v>8</v>
      </c>
      <c r="D180" t="s">
        <v>9</v>
      </c>
      <c r="E180" t="s">
        <v>21</v>
      </c>
      <c r="F180">
        <v>1</v>
      </c>
      <c r="G180" s="3">
        <v>6</v>
      </c>
      <c r="H180" s="3">
        <v>2</v>
      </c>
    </row>
    <row r="181" spans="1:8" x14ac:dyDescent="0.2">
      <c r="A181">
        <v>10180</v>
      </c>
      <c r="B181" s="2">
        <v>46071</v>
      </c>
      <c r="C181" t="s">
        <v>23</v>
      </c>
      <c r="D181" t="s">
        <v>20</v>
      </c>
      <c r="E181" t="s">
        <v>12</v>
      </c>
      <c r="F181">
        <v>7</v>
      </c>
      <c r="G181" s="3">
        <v>90</v>
      </c>
      <c r="H181" s="3">
        <v>49</v>
      </c>
    </row>
    <row r="182" spans="1:8" x14ac:dyDescent="0.2">
      <c r="A182">
        <v>10181</v>
      </c>
      <c r="B182" s="2">
        <v>46212</v>
      </c>
      <c r="C182" t="s">
        <v>23</v>
      </c>
      <c r="D182" t="s">
        <v>20</v>
      </c>
      <c r="E182" t="s">
        <v>10</v>
      </c>
      <c r="F182">
        <v>7</v>
      </c>
      <c r="G182" s="3">
        <v>90</v>
      </c>
      <c r="H182" s="3">
        <v>49</v>
      </c>
    </row>
    <row r="183" spans="1:8" x14ac:dyDescent="0.2">
      <c r="A183">
        <v>10182</v>
      </c>
      <c r="B183" s="2">
        <v>46034</v>
      </c>
      <c r="C183" t="s">
        <v>18</v>
      </c>
      <c r="D183" t="s">
        <v>9</v>
      </c>
      <c r="E183" t="s">
        <v>12</v>
      </c>
      <c r="F183">
        <v>4</v>
      </c>
      <c r="G183" s="3">
        <v>8</v>
      </c>
      <c r="H183" s="3">
        <v>3</v>
      </c>
    </row>
    <row r="184" spans="1:8" x14ac:dyDescent="0.2">
      <c r="A184">
        <v>10183</v>
      </c>
      <c r="B184" s="2">
        <v>46285</v>
      </c>
      <c r="C184" t="s">
        <v>16</v>
      </c>
      <c r="D184" t="s">
        <v>14</v>
      </c>
      <c r="E184" t="s">
        <v>21</v>
      </c>
      <c r="F184">
        <v>6</v>
      </c>
      <c r="G184" s="3">
        <v>120</v>
      </c>
      <c r="H184" s="3">
        <v>72</v>
      </c>
    </row>
    <row r="185" spans="1:8" x14ac:dyDescent="0.2">
      <c r="A185">
        <v>10184</v>
      </c>
      <c r="B185" s="2">
        <v>46189</v>
      </c>
      <c r="C185" t="s">
        <v>13</v>
      </c>
      <c r="D185" t="s">
        <v>14</v>
      </c>
      <c r="E185" t="s">
        <v>12</v>
      </c>
      <c r="F185">
        <v>3</v>
      </c>
      <c r="G185" s="3">
        <v>190</v>
      </c>
      <c r="H185" s="3">
        <v>112</v>
      </c>
    </row>
    <row r="186" spans="1:8" x14ac:dyDescent="0.2">
      <c r="A186">
        <v>10185</v>
      </c>
      <c r="B186" s="2">
        <v>46231</v>
      </c>
      <c r="C186" t="s">
        <v>25</v>
      </c>
      <c r="D186" t="s">
        <v>20</v>
      </c>
      <c r="E186" t="s">
        <v>10</v>
      </c>
      <c r="F186">
        <v>6</v>
      </c>
      <c r="G186" s="3">
        <v>35</v>
      </c>
      <c r="H186" s="3">
        <v>16</v>
      </c>
    </row>
    <row r="187" spans="1:8" x14ac:dyDescent="0.2">
      <c r="A187">
        <v>10186</v>
      </c>
      <c r="B187" s="2">
        <v>46242</v>
      </c>
      <c r="C187" t="s">
        <v>16</v>
      </c>
      <c r="D187" t="s">
        <v>14</v>
      </c>
      <c r="E187" t="s">
        <v>21</v>
      </c>
      <c r="F187">
        <v>8</v>
      </c>
      <c r="G187" s="3">
        <v>120</v>
      </c>
      <c r="H187" s="3">
        <v>72</v>
      </c>
    </row>
    <row r="188" spans="1:8" x14ac:dyDescent="0.2">
      <c r="A188">
        <v>10187</v>
      </c>
      <c r="B188" s="2">
        <v>46055</v>
      </c>
      <c r="C188" t="s">
        <v>17</v>
      </c>
      <c r="D188" t="s">
        <v>9</v>
      </c>
      <c r="E188" t="s">
        <v>15</v>
      </c>
      <c r="F188">
        <v>7</v>
      </c>
      <c r="G188" s="3">
        <v>45</v>
      </c>
      <c r="H188" s="3">
        <v>21</v>
      </c>
    </row>
    <row r="189" spans="1:8" x14ac:dyDescent="0.2">
      <c r="A189">
        <v>10188</v>
      </c>
      <c r="B189" s="2">
        <v>46253</v>
      </c>
      <c r="C189" t="s">
        <v>13</v>
      </c>
      <c r="D189" t="s">
        <v>14</v>
      </c>
      <c r="E189" t="s">
        <v>12</v>
      </c>
      <c r="F189">
        <v>5</v>
      </c>
      <c r="G189" s="3">
        <v>190</v>
      </c>
      <c r="H189" s="3">
        <v>112</v>
      </c>
    </row>
    <row r="190" spans="1:8" x14ac:dyDescent="0.2">
      <c r="A190">
        <v>10189</v>
      </c>
      <c r="B190" s="2">
        <v>46290</v>
      </c>
      <c r="C190" t="s">
        <v>11</v>
      </c>
      <c r="D190" t="s">
        <v>9</v>
      </c>
      <c r="E190" t="s">
        <v>15</v>
      </c>
      <c r="F190">
        <v>2</v>
      </c>
      <c r="G190" s="3">
        <v>12</v>
      </c>
      <c r="H190" s="3">
        <v>4</v>
      </c>
    </row>
    <row r="191" spans="1:8" x14ac:dyDescent="0.2">
      <c r="A191">
        <v>10190</v>
      </c>
      <c r="B191" s="2">
        <v>46102</v>
      </c>
      <c r="C191" t="s">
        <v>18</v>
      </c>
      <c r="D191" t="s">
        <v>9</v>
      </c>
      <c r="E191" t="s">
        <v>12</v>
      </c>
      <c r="F191">
        <v>4</v>
      </c>
      <c r="G191" s="3">
        <v>8</v>
      </c>
      <c r="H191" s="3">
        <v>3</v>
      </c>
    </row>
    <row r="192" spans="1:8" x14ac:dyDescent="0.2">
      <c r="A192">
        <v>10191</v>
      </c>
      <c r="B192" s="2">
        <v>46089</v>
      </c>
      <c r="C192" t="s">
        <v>18</v>
      </c>
      <c r="D192" t="s">
        <v>9</v>
      </c>
      <c r="E192" t="s">
        <v>12</v>
      </c>
      <c r="F192">
        <v>8</v>
      </c>
      <c r="G192" s="3">
        <v>8</v>
      </c>
      <c r="H192" s="3">
        <v>3</v>
      </c>
    </row>
    <row r="193" spans="1:8" x14ac:dyDescent="0.2">
      <c r="A193">
        <v>10192</v>
      </c>
      <c r="B193" s="2">
        <v>46241</v>
      </c>
      <c r="C193" t="s">
        <v>11</v>
      </c>
      <c r="D193" t="s">
        <v>9</v>
      </c>
      <c r="E193" t="s">
        <v>15</v>
      </c>
      <c r="F193">
        <v>4</v>
      </c>
      <c r="G193" s="3">
        <v>12</v>
      </c>
      <c r="H193" s="3">
        <v>4</v>
      </c>
    </row>
    <row r="194" spans="1:8" x14ac:dyDescent="0.2">
      <c r="A194">
        <v>10193</v>
      </c>
      <c r="B194" s="2">
        <v>46261</v>
      </c>
      <c r="C194" t="s">
        <v>17</v>
      </c>
      <c r="D194" t="s">
        <v>9</v>
      </c>
      <c r="E194" t="s">
        <v>15</v>
      </c>
      <c r="F194">
        <v>2</v>
      </c>
      <c r="G194" s="3">
        <v>45</v>
      </c>
      <c r="H194" s="3">
        <v>21</v>
      </c>
    </row>
    <row r="195" spans="1:8" x14ac:dyDescent="0.2">
      <c r="A195">
        <v>10194</v>
      </c>
      <c r="B195" s="2">
        <v>46060</v>
      </c>
      <c r="C195" t="s">
        <v>23</v>
      </c>
      <c r="D195" t="s">
        <v>20</v>
      </c>
      <c r="E195" t="s">
        <v>21</v>
      </c>
      <c r="F195">
        <v>2</v>
      </c>
      <c r="G195" s="3">
        <v>90</v>
      </c>
      <c r="H195" s="3">
        <v>49</v>
      </c>
    </row>
    <row r="196" spans="1:8" x14ac:dyDescent="0.2">
      <c r="A196">
        <v>10195</v>
      </c>
      <c r="B196" s="2">
        <v>46122</v>
      </c>
      <c r="C196" t="s">
        <v>13</v>
      </c>
      <c r="D196" t="s">
        <v>14</v>
      </c>
      <c r="E196" t="s">
        <v>10</v>
      </c>
      <c r="F196">
        <v>1</v>
      </c>
      <c r="G196" s="3">
        <v>190</v>
      </c>
      <c r="H196" s="3">
        <v>112</v>
      </c>
    </row>
    <row r="197" spans="1:8" x14ac:dyDescent="0.2">
      <c r="A197">
        <v>10196</v>
      </c>
      <c r="B197" s="2">
        <v>46055</v>
      </c>
      <c r="C197" t="s">
        <v>23</v>
      </c>
      <c r="D197" t="s">
        <v>20</v>
      </c>
      <c r="E197" t="s">
        <v>21</v>
      </c>
      <c r="F197">
        <v>4</v>
      </c>
      <c r="G197" s="3">
        <v>90</v>
      </c>
      <c r="H197" s="3">
        <v>49</v>
      </c>
    </row>
    <row r="198" spans="1:8" x14ac:dyDescent="0.2">
      <c r="A198">
        <v>10197</v>
      </c>
      <c r="B198" s="2">
        <v>46230</v>
      </c>
      <c r="C198" t="s">
        <v>18</v>
      </c>
      <c r="D198" t="s">
        <v>9</v>
      </c>
      <c r="E198" t="s">
        <v>10</v>
      </c>
      <c r="F198">
        <v>3</v>
      </c>
      <c r="G198" s="3">
        <v>8</v>
      </c>
      <c r="H198" s="3">
        <v>3</v>
      </c>
    </row>
    <row r="199" spans="1:8" x14ac:dyDescent="0.2">
      <c r="A199">
        <v>10198</v>
      </c>
      <c r="B199" s="2">
        <v>46067</v>
      </c>
      <c r="C199" t="s">
        <v>23</v>
      </c>
      <c r="D199" t="s">
        <v>20</v>
      </c>
      <c r="E199" t="s">
        <v>21</v>
      </c>
      <c r="F199">
        <v>1</v>
      </c>
      <c r="G199" s="3">
        <v>90</v>
      </c>
      <c r="H199" s="3">
        <v>49</v>
      </c>
    </row>
    <row r="200" spans="1:8" x14ac:dyDescent="0.2">
      <c r="A200">
        <v>10199</v>
      </c>
      <c r="B200" s="2">
        <v>46287</v>
      </c>
      <c r="C200" t="s">
        <v>8</v>
      </c>
      <c r="D200" t="s">
        <v>9</v>
      </c>
      <c r="E200" t="s">
        <v>15</v>
      </c>
      <c r="F200">
        <v>7</v>
      </c>
      <c r="G200" s="3">
        <v>6</v>
      </c>
      <c r="H200" s="3">
        <v>2</v>
      </c>
    </row>
    <row r="201" spans="1:8" x14ac:dyDescent="0.2">
      <c r="A201">
        <v>10200</v>
      </c>
      <c r="B201" s="2">
        <v>46134</v>
      </c>
      <c r="C201" t="s">
        <v>23</v>
      </c>
      <c r="D201" t="s">
        <v>20</v>
      </c>
      <c r="E201" t="s">
        <v>10</v>
      </c>
      <c r="F201">
        <v>3</v>
      </c>
      <c r="G201" s="3">
        <v>90</v>
      </c>
      <c r="H201" s="3">
        <v>49</v>
      </c>
    </row>
    <row r="202" spans="1:8" x14ac:dyDescent="0.2">
      <c r="A202">
        <v>10040</v>
      </c>
      <c r="B202" s="2">
        <v>46224</v>
      </c>
      <c r="C202" t="s">
        <v>18</v>
      </c>
      <c r="D202" t="s">
        <v>9</v>
      </c>
      <c r="E202" t="s">
        <v>15</v>
      </c>
      <c r="F202">
        <v>8</v>
      </c>
      <c r="G202" s="3">
        <v>8</v>
      </c>
      <c r="H202" s="3">
        <v>3</v>
      </c>
    </row>
  </sheetData>
  <autoFilter ref="A1:H202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EA0B-E290-6C4B-AE93-6238F2500113}">
  <dimension ref="A1:O202"/>
  <sheetViews>
    <sheetView zoomScale="50" workbookViewId="0">
      <pane ySplit="1" topLeftCell="A132" activePane="bottomLeft" state="frozen"/>
      <selection pane="bottomLeft" activeCell="B85" sqref="B85"/>
    </sheetView>
  </sheetViews>
  <sheetFormatPr baseColWidth="10" defaultColWidth="8.83203125" defaultRowHeight="15" x14ac:dyDescent="0.2"/>
  <cols>
    <col min="1" max="2" width="10.5" bestFit="1" customWidth="1"/>
    <col min="3" max="3" width="13.5" bestFit="1" customWidth="1"/>
    <col min="4" max="4" width="10.83203125" bestFit="1" customWidth="1"/>
    <col min="5" max="5" width="10.1640625" bestFit="1" customWidth="1"/>
    <col min="6" max="6" width="10.5" bestFit="1" customWidth="1"/>
    <col min="7" max="7" width="13.83203125" bestFit="1" customWidth="1"/>
    <col min="8" max="9" width="13.5" bestFit="1" customWidth="1"/>
    <col min="10" max="10" width="11" bestFit="1" customWidth="1"/>
    <col min="11" max="11" width="34.33203125" bestFit="1" customWidth="1"/>
    <col min="12" max="12" width="10.1640625" bestFit="1" customWidth="1"/>
    <col min="13" max="13" width="8.6640625" bestFit="1" customWidth="1"/>
    <col min="14" max="14" width="8" bestFit="1" customWidth="1"/>
    <col min="15" max="15" width="9.33203125" bestFit="1" customWidth="1"/>
  </cols>
  <sheetData>
    <row r="1" spans="1:15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51</v>
      </c>
      <c r="K1" s="1" t="s">
        <v>52</v>
      </c>
      <c r="L1" s="1" t="s">
        <v>54</v>
      </c>
      <c r="M1" s="1" t="s">
        <v>55</v>
      </c>
      <c r="N1" s="1" t="s">
        <v>56</v>
      </c>
      <c r="O1" s="1" t="s">
        <v>57</v>
      </c>
    </row>
    <row r="2" spans="1:15" x14ac:dyDescent="0.2">
      <c r="A2">
        <v>10001</v>
      </c>
      <c r="B2" s="2">
        <v>46116</v>
      </c>
      <c r="C2" t="s">
        <v>8</v>
      </c>
      <c r="D2" t="s">
        <v>9</v>
      </c>
      <c r="E2" t="s">
        <v>10</v>
      </c>
      <c r="F2">
        <v>8</v>
      </c>
      <c r="G2" s="3">
        <v>6</v>
      </c>
      <c r="H2" s="3">
        <v>2</v>
      </c>
      <c r="I2" t="str">
        <f>PROPER(TRIM(C2))</f>
        <v>Grip Tape</v>
      </c>
      <c r="J2" t="str">
        <f>PROPER(TRIM(E2))</f>
        <v>Madrid</v>
      </c>
      <c r="L2" s="7">
        <f>F2*G2</f>
        <v>48</v>
      </c>
      <c r="M2" s="7">
        <f>F2*H2</f>
        <v>16</v>
      </c>
      <c r="N2" s="7">
        <f>L2-M2</f>
        <v>32</v>
      </c>
      <c r="O2" s="8">
        <f>IF(L2=0,0,(N2/L2))</f>
        <v>0.66666666666666663</v>
      </c>
    </row>
    <row r="3" spans="1:15" x14ac:dyDescent="0.2">
      <c r="A3">
        <v>10002</v>
      </c>
      <c r="B3" s="2">
        <v>46272</v>
      </c>
      <c r="C3" t="s">
        <v>11</v>
      </c>
      <c r="D3" t="s">
        <v>9</v>
      </c>
      <c r="E3" t="s">
        <v>12</v>
      </c>
      <c r="F3">
        <v>2</v>
      </c>
      <c r="G3" s="3">
        <v>12</v>
      </c>
      <c r="H3" s="3">
        <v>4</v>
      </c>
      <c r="I3" t="str">
        <f t="shared" ref="I3:I66" si="0">PROPER(TRIM(C3))</f>
        <v>Wristband</v>
      </c>
      <c r="J3" t="str">
        <f t="shared" ref="J3:J66" si="1">PROPER(TRIM(E3))</f>
        <v>Valencia</v>
      </c>
      <c r="L3" s="7">
        <f t="shared" ref="L3:L66" si="2">F3*G3</f>
        <v>24</v>
      </c>
      <c r="M3" s="7">
        <f t="shared" ref="M3:M66" si="3">F3*H3</f>
        <v>8</v>
      </c>
      <c r="N3" s="7">
        <f t="shared" ref="N3:N66" si="4">L3-M3</f>
        <v>16</v>
      </c>
      <c r="O3" s="8">
        <f t="shared" ref="O3:O66" si="5">IF(L3=0,0,(N3/L3))</f>
        <v>0.66666666666666663</v>
      </c>
    </row>
    <row r="4" spans="1:15" x14ac:dyDescent="0.2">
      <c r="A4">
        <v>10003</v>
      </c>
      <c r="B4" s="2">
        <v>46079</v>
      </c>
      <c r="C4" t="s">
        <v>13</v>
      </c>
      <c r="D4" t="s">
        <v>14</v>
      </c>
      <c r="E4" t="s">
        <v>15</v>
      </c>
      <c r="F4">
        <v>8</v>
      </c>
      <c r="G4" s="3">
        <v>190</v>
      </c>
      <c r="H4" s="3">
        <v>112</v>
      </c>
      <c r="I4" t="str">
        <f t="shared" si="0"/>
        <v>Premium Racket</v>
      </c>
      <c r="J4" t="str">
        <f t="shared" si="1"/>
        <v>Barcelona</v>
      </c>
      <c r="L4" s="7">
        <f t="shared" si="2"/>
        <v>1520</v>
      </c>
      <c r="M4" s="7">
        <f t="shared" si="3"/>
        <v>896</v>
      </c>
      <c r="N4" s="7">
        <f t="shared" si="4"/>
        <v>624</v>
      </c>
      <c r="O4" s="8">
        <f t="shared" si="5"/>
        <v>0.41052631578947368</v>
      </c>
    </row>
    <row r="5" spans="1:15" x14ac:dyDescent="0.2">
      <c r="A5">
        <v>10004</v>
      </c>
      <c r="B5" s="2">
        <v>46036</v>
      </c>
      <c r="C5" t="s">
        <v>16</v>
      </c>
      <c r="D5" t="s">
        <v>14</v>
      </c>
      <c r="E5" t="s">
        <v>12</v>
      </c>
      <c r="F5">
        <v>7</v>
      </c>
      <c r="G5" s="3">
        <v>120</v>
      </c>
      <c r="H5" s="3">
        <v>72</v>
      </c>
      <c r="I5" t="str">
        <f t="shared" si="0"/>
        <v>Padel Racket</v>
      </c>
      <c r="J5" t="str">
        <f t="shared" si="1"/>
        <v>Valencia</v>
      </c>
      <c r="L5" s="7">
        <f t="shared" si="2"/>
        <v>840</v>
      </c>
      <c r="M5" s="7">
        <f t="shared" si="3"/>
        <v>504</v>
      </c>
      <c r="N5" s="7">
        <f t="shared" si="4"/>
        <v>336</v>
      </c>
      <c r="O5" s="8">
        <f t="shared" si="5"/>
        <v>0.4</v>
      </c>
    </row>
    <row r="6" spans="1:15" x14ac:dyDescent="0.2">
      <c r="A6">
        <v>10005</v>
      </c>
      <c r="B6" s="2">
        <v>46278</v>
      </c>
      <c r="C6" t="s">
        <v>13</v>
      </c>
      <c r="D6" t="s">
        <v>14</v>
      </c>
      <c r="E6" t="s">
        <v>12</v>
      </c>
      <c r="F6">
        <v>7</v>
      </c>
      <c r="G6" s="3">
        <v>190</v>
      </c>
      <c r="H6" s="3">
        <v>112</v>
      </c>
      <c r="I6" t="str">
        <f t="shared" si="0"/>
        <v>Premium Racket</v>
      </c>
      <c r="J6" t="str">
        <f t="shared" si="1"/>
        <v>Valencia</v>
      </c>
      <c r="L6" s="7">
        <f t="shared" si="2"/>
        <v>1330</v>
      </c>
      <c r="M6" s="7">
        <f t="shared" si="3"/>
        <v>784</v>
      </c>
      <c r="N6" s="7">
        <f t="shared" si="4"/>
        <v>546</v>
      </c>
      <c r="O6" s="8">
        <f t="shared" si="5"/>
        <v>0.41052631578947368</v>
      </c>
    </row>
    <row r="7" spans="1:15" x14ac:dyDescent="0.2">
      <c r="A7">
        <v>10006</v>
      </c>
      <c r="B7" s="2">
        <v>46158</v>
      </c>
      <c r="C7" t="s">
        <v>13</v>
      </c>
      <c r="D7" t="s">
        <v>14</v>
      </c>
      <c r="E7" t="s">
        <v>15</v>
      </c>
      <c r="F7">
        <v>1</v>
      </c>
      <c r="G7" s="3">
        <v>190</v>
      </c>
      <c r="H7" s="3">
        <v>112</v>
      </c>
      <c r="I7" t="str">
        <f t="shared" si="0"/>
        <v>Premium Racket</v>
      </c>
      <c r="J7" t="str">
        <f t="shared" si="1"/>
        <v>Barcelona</v>
      </c>
      <c r="L7" s="7">
        <f t="shared" si="2"/>
        <v>190</v>
      </c>
      <c r="M7" s="7">
        <f t="shared" si="3"/>
        <v>112</v>
      </c>
      <c r="N7" s="7">
        <f t="shared" si="4"/>
        <v>78</v>
      </c>
      <c r="O7" s="8">
        <f t="shared" si="5"/>
        <v>0.41052631578947368</v>
      </c>
    </row>
    <row r="8" spans="1:15" x14ac:dyDescent="0.2">
      <c r="A8">
        <v>10007</v>
      </c>
      <c r="B8" s="2">
        <v>46201</v>
      </c>
      <c r="C8" t="s">
        <v>17</v>
      </c>
      <c r="D8" t="s">
        <v>9</v>
      </c>
      <c r="E8" t="s">
        <v>10</v>
      </c>
      <c r="F8">
        <v>8</v>
      </c>
      <c r="G8" s="3">
        <v>45</v>
      </c>
      <c r="H8" s="3">
        <v>21</v>
      </c>
      <c r="I8" t="str">
        <f t="shared" si="0"/>
        <v>Padel Bag</v>
      </c>
      <c r="J8" t="str">
        <f t="shared" si="1"/>
        <v>Madrid</v>
      </c>
      <c r="L8" s="7">
        <f t="shared" si="2"/>
        <v>360</v>
      </c>
      <c r="M8" s="7">
        <f t="shared" si="3"/>
        <v>168</v>
      </c>
      <c r="N8" s="7">
        <f t="shared" si="4"/>
        <v>192</v>
      </c>
      <c r="O8" s="8">
        <f t="shared" si="5"/>
        <v>0.53333333333333333</v>
      </c>
    </row>
    <row r="9" spans="1:15" x14ac:dyDescent="0.2">
      <c r="A9">
        <v>10008</v>
      </c>
      <c r="B9" s="2">
        <v>46035</v>
      </c>
      <c r="C9" t="s">
        <v>8</v>
      </c>
      <c r="D9" t="s">
        <v>9</v>
      </c>
      <c r="E9" t="s">
        <v>15</v>
      </c>
      <c r="F9">
        <v>4</v>
      </c>
      <c r="G9" s="3">
        <v>6</v>
      </c>
      <c r="H9" s="3">
        <v>2</v>
      </c>
      <c r="I9" t="str">
        <f t="shared" si="0"/>
        <v>Grip Tape</v>
      </c>
      <c r="J9" t="str">
        <f t="shared" si="1"/>
        <v>Barcelona</v>
      </c>
      <c r="L9" s="7">
        <f t="shared" si="2"/>
        <v>24</v>
      </c>
      <c r="M9" s="7">
        <f t="shared" si="3"/>
        <v>8</v>
      </c>
      <c r="N9" s="7">
        <f t="shared" si="4"/>
        <v>16</v>
      </c>
      <c r="O9" s="8">
        <f t="shared" si="5"/>
        <v>0.66666666666666663</v>
      </c>
    </row>
    <row r="10" spans="1:15" x14ac:dyDescent="0.2">
      <c r="A10">
        <v>10009</v>
      </c>
      <c r="B10" s="2">
        <v>46048</v>
      </c>
      <c r="C10" t="s">
        <v>17</v>
      </c>
      <c r="D10" t="s">
        <v>9</v>
      </c>
      <c r="E10" t="s">
        <v>12</v>
      </c>
      <c r="F10">
        <v>5</v>
      </c>
      <c r="G10" s="3">
        <v>45</v>
      </c>
      <c r="H10" s="3">
        <v>21</v>
      </c>
      <c r="I10" t="str">
        <f t="shared" si="0"/>
        <v>Padel Bag</v>
      </c>
      <c r="J10" t="str">
        <f t="shared" si="1"/>
        <v>Valencia</v>
      </c>
      <c r="L10" s="7">
        <f t="shared" si="2"/>
        <v>225</v>
      </c>
      <c r="M10" s="7">
        <f t="shared" si="3"/>
        <v>105</v>
      </c>
      <c r="N10" s="7">
        <f t="shared" si="4"/>
        <v>120</v>
      </c>
      <c r="O10" s="8">
        <f t="shared" si="5"/>
        <v>0.53333333333333333</v>
      </c>
    </row>
    <row r="11" spans="1:15" x14ac:dyDescent="0.2">
      <c r="A11">
        <v>10010</v>
      </c>
      <c r="B11" s="2">
        <v>46066</v>
      </c>
      <c r="C11" t="s">
        <v>17</v>
      </c>
      <c r="D11" t="s">
        <v>9</v>
      </c>
      <c r="E11" t="s">
        <v>15</v>
      </c>
      <c r="F11">
        <v>7</v>
      </c>
      <c r="G11" s="3">
        <v>45</v>
      </c>
      <c r="H11" s="3">
        <v>21</v>
      </c>
      <c r="I11" t="str">
        <f t="shared" si="0"/>
        <v>Padel Bag</v>
      </c>
      <c r="J11" t="str">
        <f t="shared" si="1"/>
        <v>Barcelona</v>
      </c>
      <c r="L11" s="7">
        <f t="shared" si="2"/>
        <v>315</v>
      </c>
      <c r="M11" s="7">
        <f t="shared" si="3"/>
        <v>147</v>
      </c>
      <c r="N11" s="7">
        <f t="shared" si="4"/>
        <v>168</v>
      </c>
      <c r="O11" s="8">
        <f t="shared" si="5"/>
        <v>0.53333333333333333</v>
      </c>
    </row>
    <row r="12" spans="1:15" x14ac:dyDescent="0.2">
      <c r="A12">
        <v>10011</v>
      </c>
      <c r="B12" s="2">
        <v>46090</v>
      </c>
      <c r="C12" t="s">
        <v>18</v>
      </c>
      <c r="D12" t="s">
        <v>9</v>
      </c>
      <c r="E12" t="s">
        <v>10</v>
      </c>
      <c r="F12">
        <v>4</v>
      </c>
      <c r="G12" s="3">
        <v>8</v>
      </c>
      <c r="H12" s="3">
        <v>3</v>
      </c>
      <c r="I12" t="str">
        <f t="shared" si="0"/>
        <v>Padel Balls</v>
      </c>
      <c r="J12" t="str">
        <f t="shared" si="1"/>
        <v>Madrid</v>
      </c>
      <c r="L12" s="7">
        <f t="shared" si="2"/>
        <v>32</v>
      </c>
      <c r="M12" s="7">
        <f t="shared" si="3"/>
        <v>12</v>
      </c>
      <c r="N12" s="7">
        <f t="shared" si="4"/>
        <v>20</v>
      </c>
      <c r="O12" s="8">
        <f t="shared" si="5"/>
        <v>0.625</v>
      </c>
    </row>
    <row r="13" spans="1:15" x14ac:dyDescent="0.2">
      <c r="A13">
        <v>10012</v>
      </c>
      <c r="B13" s="2">
        <v>46272</v>
      </c>
      <c r="C13" t="s">
        <v>19</v>
      </c>
      <c r="D13" t="s">
        <v>20</v>
      </c>
      <c r="E13" t="s">
        <v>21</v>
      </c>
      <c r="F13">
        <v>8</v>
      </c>
      <c r="G13" s="3">
        <v>90</v>
      </c>
      <c r="H13" s="3">
        <v>49</v>
      </c>
      <c r="I13" t="str">
        <f t="shared" si="0"/>
        <v>Padel Shoes</v>
      </c>
      <c r="J13" t="str">
        <f t="shared" si="1"/>
        <v>Seville</v>
      </c>
      <c r="L13" s="7">
        <f t="shared" si="2"/>
        <v>720</v>
      </c>
      <c r="M13" s="7">
        <f t="shared" si="3"/>
        <v>392</v>
      </c>
      <c r="N13" s="7">
        <f t="shared" si="4"/>
        <v>328</v>
      </c>
      <c r="O13" s="8">
        <f t="shared" si="5"/>
        <v>0.45555555555555555</v>
      </c>
    </row>
    <row r="14" spans="1:15" x14ac:dyDescent="0.2">
      <c r="A14">
        <v>10013</v>
      </c>
      <c r="B14" s="2">
        <v>46126</v>
      </c>
      <c r="C14" t="s">
        <v>17</v>
      </c>
      <c r="D14" t="s">
        <v>9</v>
      </c>
      <c r="E14" t="s">
        <v>12</v>
      </c>
      <c r="F14">
        <v>5</v>
      </c>
      <c r="G14" s="3">
        <v>45</v>
      </c>
      <c r="H14" s="3">
        <v>21</v>
      </c>
      <c r="I14" t="str">
        <f t="shared" si="0"/>
        <v>Padel Bag</v>
      </c>
      <c r="J14" t="str">
        <f t="shared" si="1"/>
        <v>Valencia</v>
      </c>
      <c r="L14" s="7">
        <f t="shared" si="2"/>
        <v>225</v>
      </c>
      <c r="M14" s="7">
        <f t="shared" si="3"/>
        <v>105</v>
      </c>
      <c r="N14" s="7">
        <f t="shared" si="4"/>
        <v>120</v>
      </c>
      <c r="O14" s="8">
        <f t="shared" si="5"/>
        <v>0.53333333333333333</v>
      </c>
    </row>
    <row r="15" spans="1:15" x14ac:dyDescent="0.2">
      <c r="A15">
        <v>10014</v>
      </c>
      <c r="B15" s="2">
        <v>46242</v>
      </c>
      <c r="C15" t="s">
        <v>16</v>
      </c>
      <c r="D15" t="s">
        <v>14</v>
      </c>
      <c r="E15" t="s">
        <v>21</v>
      </c>
      <c r="F15">
        <v>2</v>
      </c>
      <c r="G15" s="3">
        <v>120</v>
      </c>
      <c r="H15" s="3">
        <v>72</v>
      </c>
      <c r="I15" t="str">
        <f t="shared" si="0"/>
        <v>Padel Racket</v>
      </c>
      <c r="J15" t="str">
        <f t="shared" si="1"/>
        <v>Seville</v>
      </c>
      <c r="L15" s="7">
        <f t="shared" si="2"/>
        <v>240</v>
      </c>
      <c r="M15" s="7">
        <f t="shared" si="3"/>
        <v>144</v>
      </c>
      <c r="N15" s="7">
        <f t="shared" si="4"/>
        <v>96</v>
      </c>
      <c r="O15" s="8">
        <f t="shared" si="5"/>
        <v>0.4</v>
      </c>
    </row>
    <row r="16" spans="1:15" x14ac:dyDescent="0.2">
      <c r="A16">
        <v>10015</v>
      </c>
      <c r="B16" s="2">
        <v>46208</v>
      </c>
      <c r="C16" t="s">
        <v>13</v>
      </c>
      <c r="D16" t="s">
        <v>14</v>
      </c>
      <c r="E16" t="s">
        <v>10</v>
      </c>
      <c r="F16">
        <v>2</v>
      </c>
      <c r="G16" s="3">
        <v>190</v>
      </c>
      <c r="H16" s="3">
        <v>112</v>
      </c>
      <c r="I16" t="str">
        <f t="shared" si="0"/>
        <v>Premium Racket</v>
      </c>
      <c r="J16" t="str">
        <f t="shared" si="1"/>
        <v>Madrid</v>
      </c>
      <c r="L16" s="7">
        <f t="shared" si="2"/>
        <v>380</v>
      </c>
      <c r="M16" s="7">
        <f t="shared" si="3"/>
        <v>224</v>
      </c>
      <c r="N16" s="7">
        <f t="shared" si="4"/>
        <v>156</v>
      </c>
      <c r="O16" s="8">
        <f t="shared" si="5"/>
        <v>0.41052631578947368</v>
      </c>
    </row>
    <row r="17" spans="1:15" x14ac:dyDescent="0.2">
      <c r="A17">
        <v>10016</v>
      </c>
      <c r="B17" s="2">
        <v>46273</v>
      </c>
      <c r="C17" t="s">
        <v>13</v>
      </c>
      <c r="D17" t="s">
        <v>14</v>
      </c>
      <c r="E17" t="s">
        <v>15</v>
      </c>
      <c r="F17">
        <v>6</v>
      </c>
      <c r="G17" s="3">
        <v>190</v>
      </c>
      <c r="H17" s="3">
        <v>112</v>
      </c>
      <c r="I17" t="str">
        <f t="shared" si="0"/>
        <v>Premium Racket</v>
      </c>
      <c r="J17" t="str">
        <f t="shared" si="1"/>
        <v>Barcelona</v>
      </c>
      <c r="L17" s="7">
        <f t="shared" si="2"/>
        <v>1140</v>
      </c>
      <c r="M17" s="7">
        <f t="shared" si="3"/>
        <v>672</v>
      </c>
      <c r="N17" s="7">
        <f t="shared" si="4"/>
        <v>468</v>
      </c>
      <c r="O17" s="8">
        <f t="shared" si="5"/>
        <v>0.41052631578947368</v>
      </c>
    </row>
    <row r="18" spans="1:15" x14ac:dyDescent="0.2">
      <c r="A18">
        <v>10017</v>
      </c>
      <c r="B18" s="2">
        <v>46086</v>
      </c>
      <c r="C18" t="s">
        <v>18</v>
      </c>
      <c r="D18" t="s">
        <v>9</v>
      </c>
      <c r="E18" t="s">
        <v>15</v>
      </c>
      <c r="F18">
        <v>4</v>
      </c>
      <c r="G18" s="3">
        <v>8</v>
      </c>
      <c r="H18" s="3">
        <v>3</v>
      </c>
      <c r="I18" t="str">
        <f t="shared" si="0"/>
        <v>Padel Balls</v>
      </c>
      <c r="J18" t="str">
        <f t="shared" si="1"/>
        <v>Barcelona</v>
      </c>
      <c r="L18" s="7">
        <f t="shared" si="2"/>
        <v>32</v>
      </c>
      <c r="M18" s="7">
        <f t="shared" si="3"/>
        <v>12</v>
      </c>
      <c r="N18" s="7">
        <f t="shared" si="4"/>
        <v>20</v>
      </c>
      <c r="O18" s="8">
        <f t="shared" si="5"/>
        <v>0.625</v>
      </c>
    </row>
    <row r="19" spans="1:15" x14ac:dyDescent="0.2">
      <c r="A19">
        <v>10018</v>
      </c>
      <c r="B19" s="2">
        <v>46155</v>
      </c>
      <c r="C19" t="s">
        <v>8</v>
      </c>
      <c r="D19" t="s">
        <v>9</v>
      </c>
      <c r="E19" t="s">
        <v>21</v>
      </c>
      <c r="F19">
        <v>7</v>
      </c>
      <c r="G19" s="3">
        <v>6</v>
      </c>
      <c r="H19" s="3">
        <v>2</v>
      </c>
      <c r="I19" t="str">
        <f t="shared" si="0"/>
        <v>Grip Tape</v>
      </c>
      <c r="J19" t="str">
        <f t="shared" si="1"/>
        <v>Seville</v>
      </c>
      <c r="L19" s="7">
        <f t="shared" si="2"/>
        <v>42</v>
      </c>
      <c r="M19" s="7">
        <f t="shared" si="3"/>
        <v>14</v>
      </c>
      <c r="N19" s="7">
        <f t="shared" si="4"/>
        <v>28</v>
      </c>
      <c r="O19" s="8">
        <f t="shared" si="5"/>
        <v>0.66666666666666663</v>
      </c>
    </row>
    <row r="20" spans="1:15" x14ac:dyDescent="0.2">
      <c r="A20">
        <v>10019</v>
      </c>
      <c r="B20" s="2">
        <v>46040</v>
      </c>
      <c r="C20" t="s">
        <v>13</v>
      </c>
      <c r="D20" t="s">
        <v>14</v>
      </c>
      <c r="E20" t="s">
        <v>10</v>
      </c>
      <c r="F20">
        <v>8</v>
      </c>
      <c r="G20" s="3">
        <v>190</v>
      </c>
      <c r="H20" s="3">
        <v>112</v>
      </c>
      <c r="I20" t="str">
        <f t="shared" si="0"/>
        <v>Premium Racket</v>
      </c>
      <c r="J20" t="str">
        <f t="shared" si="1"/>
        <v>Madrid</v>
      </c>
      <c r="L20" s="7">
        <f t="shared" si="2"/>
        <v>1520</v>
      </c>
      <c r="M20" s="7">
        <f t="shared" si="3"/>
        <v>896</v>
      </c>
      <c r="N20" s="7">
        <f t="shared" si="4"/>
        <v>624</v>
      </c>
      <c r="O20" s="8">
        <f t="shared" si="5"/>
        <v>0.41052631578947368</v>
      </c>
    </row>
    <row r="21" spans="1:15" x14ac:dyDescent="0.2">
      <c r="A21">
        <v>10020</v>
      </c>
      <c r="B21" s="2">
        <v>46262</v>
      </c>
      <c r="C21" t="s">
        <v>18</v>
      </c>
      <c r="D21" t="s">
        <v>9</v>
      </c>
      <c r="E21" t="s">
        <v>10</v>
      </c>
      <c r="F21">
        <v>5</v>
      </c>
      <c r="G21" s="3">
        <v>8</v>
      </c>
      <c r="H21" s="3">
        <v>3</v>
      </c>
      <c r="I21" t="str">
        <f t="shared" si="0"/>
        <v>Padel Balls</v>
      </c>
      <c r="J21" t="str">
        <f t="shared" si="1"/>
        <v>Madrid</v>
      </c>
      <c r="L21" s="7">
        <f t="shared" si="2"/>
        <v>40</v>
      </c>
      <c r="M21" s="7">
        <f t="shared" si="3"/>
        <v>15</v>
      </c>
      <c r="N21" s="7">
        <f t="shared" si="4"/>
        <v>25</v>
      </c>
      <c r="O21" s="8">
        <f t="shared" si="5"/>
        <v>0.625</v>
      </c>
    </row>
    <row r="22" spans="1:15" x14ac:dyDescent="0.2">
      <c r="A22">
        <v>10021</v>
      </c>
      <c r="B22" s="2">
        <v>46046</v>
      </c>
      <c r="C22" t="s">
        <v>18</v>
      </c>
      <c r="D22" t="s">
        <v>9</v>
      </c>
      <c r="E22" t="s">
        <v>15</v>
      </c>
      <c r="F22">
        <v>6</v>
      </c>
      <c r="G22" s="3">
        <v>8</v>
      </c>
      <c r="H22" s="3">
        <v>3</v>
      </c>
      <c r="I22" t="str">
        <f t="shared" si="0"/>
        <v>Padel Balls</v>
      </c>
      <c r="J22" t="str">
        <f t="shared" si="1"/>
        <v>Barcelona</v>
      </c>
      <c r="L22" s="7">
        <f t="shared" si="2"/>
        <v>48</v>
      </c>
      <c r="M22" s="7">
        <f t="shared" si="3"/>
        <v>18</v>
      </c>
      <c r="N22" s="7">
        <f t="shared" si="4"/>
        <v>30</v>
      </c>
      <c r="O22" s="8">
        <f t="shared" si="5"/>
        <v>0.625</v>
      </c>
    </row>
    <row r="23" spans="1:15" x14ac:dyDescent="0.2">
      <c r="A23">
        <v>10022</v>
      </c>
      <c r="B23" s="2">
        <v>46171</v>
      </c>
      <c r="C23" t="s">
        <v>17</v>
      </c>
      <c r="D23" t="s">
        <v>9</v>
      </c>
      <c r="E23" t="s">
        <v>10</v>
      </c>
      <c r="F23">
        <v>1</v>
      </c>
      <c r="G23" s="3">
        <v>45</v>
      </c>
      <c r="H23" s="3">
        <v>21</v>
      </c>
      <c r="I23" t="str">
        <f t="shared" si="0"/>
        <v>Padel Bag</v>
      </c>
      <c r="J23" t="str">
        <f t="shared" si="1"/>
        <v>Madrid</v>
      </c>
      <c r="L23" s="7">
        <f t="shared" si="2"/>
        <v>45</v>
      </c>
      <c r="M23" s="7">
        <f t="shared" si="3"/>
        <v>21</v>
      </c>
      <c r="N23" s="7">
        <f t="shared" si="4"/>
        <v>24</v>
      </c>
      <c r="O23" s="8">
        <f t="shared" si="5"/>
        <v>0.53333333333333333</v>
      </c>
    </row>
    <row r="24" spans="1:15" x14ac:dyDescent="0.2">
      <c r="A24">
        <v>10023</v>
      </c>
      <c r="B24" s="2">
        <v>46036</v>
      </c>
      <c r="C24" t="s">
        <v>17</v>
      </c>
      <c r="D24" t="s">
        <v>9</v>
      </c>
      <c r="E24" t="s">
        <v>22</v>
      </c>
      <c r="F24">
        <v>7</v>
      </c>
      <c r="G24" s="3">
        <v>45</v>
      </c>
      <c r="H24" s="3">
        <v>21</v>
      </c>
      <c r="I24" t="str">
        <f t="shared" si="0"/>
        <v>Padel Bag</v>
      </c>
      <c r="J24" t="str">
        <f t="shared" si="1"/>
        <v>Barcelona</v>
      </c>
      <c r="L24" s="7">
        <f t="shared" si="2"/>
        <v>315</v>
      </c>
      <c r="M24" s="7">
        <f t="shared" si="3"/>
        <v>147</v>
      </c>
      <c r="N24" s="7">
        <f t="shared" si="4"/>
        <v>168</v>
      </c>
      <c r="O24" s="8">
        <f t="shared" si="5"/>
        <v>0.53333333333333333</v>
      </c>
    </row>
    <row r="25" spans="1:15" x14ac:dyDescent="0.2">
      <c r="A25">
        <v>10024</v>
      </c>
      <c r="B25" s="2">
        <v>46128</v>
      </c>
      <c r="C25" t="s">
        <v>13</v>
      </c>
      <c r="D25" t="s">
        <v>14</v>
      </c>
      <c r="E25" t="s">
        <v>15</v>
      </c>
      <c r="F25">
        <v>1</v>
      </c>
      <c r="G25" s="3">
        <v>190</v>
      </c>
      <c r="H25" s="3">
        <v>112</v>
      </c>
      <c r="I25" t="str">
        <f t="shared" si="0"/>
        <v>Premium Racket</v>
      </c>
      <c r="J25" t="str">
        <f t="shared" si="1"/>
        <v>Barcelona</v>
      </c>
      <c r="L25" s="7">
        <f t="shared" si="2"/>
        <v>190</v>
      </c>
      <c r="M25" s="7">
        <f t="shared" si="3"/>
        <v>112</v>
      </c>
      <c r="N25" s="7">
        <f t="shared" si="4"/>
        <v>78</v>
      </c>
      <c r="O25" s="8">
        <f t="shared" si="5"/>
        <v>0.41052631578947368</v>
      </c>
    </row>
    <row r="26" spans="1:15" x14ac:dyDescent="0.2">
      <c r="A26">
        <v>10025</v>
      </c>
      <c r="B26" s="2">
        <v>46091</v>
      </c>
      <c r="C26" t="s">
        <v>23</v>
      </c>
      <c r="D26" t="s">
        <v>20</v>
      </c>
      <c r="E26" t="s">
        <v>15</v>
      </c>
      <c r="F26">
        <v>7</v>
      </c>
      <c r="G26" s="3">
        <v>90</v>
      </c>
      <c r="H26" s="3">
        <v>49</v>
      </c>
      <c r="I26" t="str">
        <f t="shared" si="0"/>
        <v>Padel Shoes</v>
      </c>
      <c r="J26" t="str">
        <f t="shared" si="1"/>
        <v>Barcelona</v>
      </c>
      <c r="L26" s="7">
        <f t="shared" si="2"/>
        <v>630</v>
      </c>
      <c r="M26" s="7">
        <f t="shared" si="3"/>
        <v>343</v>
      </c>
      <c r="N26" s="7">
        <f t="shared" si="4"/>
        <v>287</v>
      </c>
      <c r="O26" s="8">
        <f t="shared" si="5"/>
        <v>0.45555555555555555</v>
      </c>
    </row>
    <row r="27" spans="1:15" x14ac:dyDescent="0.2">
      <c r="A27">
        <v>10026</v>
      </c>
      <c r="B27" s="2">
        <v>46234</v>
      </c>
      <c r="C27" t="s">
        <v>13</v>
      </c>
      <c r="D27" t="s">
        <v>14</v>
      </c>
      <c r="E27" t="s">
        <v>10</v>
      </c>
      <c r="F27">
        <v>2</v>
      </c>
      <c r="G27" s="3">
        <v>190</v>
      </c>
      <c r="H27" s="3">
        <v>112</v>
      </c>
      <c r="I27" t="str">
        <f t="shared" si="0"/>
        <v>Premium Racket</v>
      </c>
      <c r="J27" t="str">
        <f t="shared" si="1"/>
        <v>Madrid</v>
      </c>
      <c r="L27" s="7">
        <f t="shared" si="2"/>
        <v>380</v>
      </c>
      <c r="M27" s="7">
        <f t="shared" si="3"/>
        <v>224</v>
      </c>
      <c r="N27" s="7">
        <f t="shared" si="4"/>
        <v>156</v>
      </c>
      <c r="O27" s="8">
        <f t="shared" si="5"/>
        <v>0.41052631578947368</v>
      </c>
    </row>
    <row r="28" spans="1:15" x14ac:dyDescent="0.2">
      <c r="A28">
        <v>10027</v>
      </c>
      <c r="B28" s="2">
        <v>46123</v>
      </c>
      <c r="C28" t="s">
        <v>8</v>
      </c>
      <c r="D28" t="s">
        <v>9</v>
      </c>
      <c r="E28" t="s">
        <v>21</v>
      </c>
      <c r="F28">
        <v>5</v>
      </c>
      <c r="G28" s="3">
        <v>6</v>
      </c>
      <c r="H28" s="3">
        <v>2</v>
      </c>
      <c r="I28" t="str">
        <f t="shared" si="0"/>
        <v>Grip Tape</v>
      </c>
      <c r="J28" t="str">
        <f t="shared" si="1"/>
        <v>Seville</v>
      </c>
      <c r="L28" s="7">
        <f t="shared" si="2"/>
        <v>30</v>
      </c>
      <c r="M28" s="7">
        <f t="shared" si="3"/>
        <v>10</v>
      </c>
      <c r="N28" s="7">
        <f t="shared" si="4"/>
        <v>20</v>
      </c>
      <c r="O28" s="8">
        <f t="shared" si="5"/>
        <v>0.66666666666666663</v>
      </c>
    </row>
    <row r="29" spans="1:15" x14ac:dyDescent="0.2">
      <c r="A29">
        <v>10028</v>
      </c>
      <c r="B29" s="2">
        <v>46091</v>
      </c>
      <c r="C29" t="s">
        <v>8</v>
      </c>
      <c r="D29" t="s">
        <v>9</v>
      </c>
      <c r="E29" t="s">
        <v>21</v>
      </c>
      <c r="F29">
        <v>6</v>
      </c>
      <c r="G29" s="3">
        <v>6</v>
      </c>
      <c r="H29" s="3">
        <v>2</v>
      </c>
      <c r="I29" t="str">
        <f t="shared" si="0"/>
        <v>Grip Tape</v>
      </c>
      <c r="J29" t="str">
        <f t="shared" si="1"/>
        <v>Seville</v>
      </c>
      <c r="L29" s="7">
        <f t="shared" si="2"/>
        <v>36</v>
      </c>
      <c r="M29" s="7">
        <f t="shared" si="3"/>
        <v>12</v>
      </c>
      <c r="N29" s="7">
        <f t="shared" si="4"/>
        <v>24</v>
      </c>
      <c r="O29" s="8">
        <f t="shared" si="5"/>
        <v>0.66666666666666663</v>
      </c>
    </row>
    <row r="30" spans="1:15" x14ac:dyDescent="0.2">
      <c r="A30">
        <v>10029</v>
      </c>
      <c r="B30" s="2">
        <v>46221</v>
      </c>
      <c r="C30" t="s">
        <v>11</v>
      </c>
      <c r="D30" t="s">
        <v>9</v>
      </c>
      <c r="E30" t="s">
        <v>21</v>
      </c>
      <c r="F30">
        <v>8</v>
      </c>
      <c r="G30" s="3">
        <v>12</v>
      </c>
      <c r="H30" s="3">
        <v>4</v>
      </c>
      <c r="I30" t="str">
        <f t="shared" si="0"/>
        <v>Wristband</v>
      </c>
      <c r="J30" t="str">
        <f t="shared" si="1"/>
        <v>Seville</v>
      </c>
      <c r="L30" s="7">
        <f t="shared" si="2"/>
        <v>96</v>
      </c>
      <c r="M30" s="7">
        <f t="shared" si="3"/>
        <v>32</v>
      </c>
      <c r="N30" s="7">
        <f t="shared" si="4"/>
        <v>64</v>
      </c>
      <c r="O30" s="8">
        <f t="shared" si="5"/>
        <v>0.66666666666666663</v>
      </c>
    </row>
    <row r="31" spans="1:15" x14ac:dyDescent="0.2">
      <c r="A31">
        <v>10030</v>
      </c>
      <c r="B31" s="2">
        <v>46209</v>
      </c>
      <c r="C31" t="s">
        <v>23</v>
      </c>
      <c r="D31" t="s">
        <v>20</v>
      </c>
      <c r="E31" t="s">
        <v>21</v>
      </c>
      <c r="F31">
        <v>5</v>
      </c>
      <c r="G31" s="3">
        <v>90</v>
      </c>
      <c r="H31" s="3">
        <v>49</v>
      </c>
      <c r="I31" t="str">
        <f t="shared" si="0"/>
        <v>Padel Shoes</v>
      </c>
      <c r="J31" t="str">
        <f t="shared" si="1"/>
        <v>Seville</v>
      </c>
      <c r="L31" s="7">
        <f t="shared" si="2"/>
        <v>450</v>
      </c>
      <c r="M31" s="7">
        <f t="shared" si="3"/>
        <v>245</v>
      </c>
      <c r="N31" s="7">
        <f t="shared" si="4"/>
        <v>205</v>
      </c>
      <c r="O31" s="8">
        <f t="shared" si="5"/>
        <v>0.45555555555555555</v>
      </c>
    </row>
    <row r="32" spans="1:15" x14ac:dyDescent="0.2">
      <c r="A32">
        <v>10031</v>
      </c>
      <c r="B32" s="2">
        <v>46058</v>
      </c>
      <c r="C32" t="s">
        <v>18</v>
      </c>
      <c r="D32" t="s">
        <v>9</v>
      </c>
      <c r="E32" t="s">
        <v>12</v>
      </c>
      <c r="F32">
        <v>6</v>
      </c>
      <c r="G32" s="3">
        <v>8</v>
      </c>
      <c r="H32" s="3">
        <v>3</v>
      </c>
      <c r="I32" t="str">
        <f t="shared" si="0"/>
        <v>Padel Balls</v>
      </c>
      <c r="J32" t="str">
        <f t="shared" si="1"/>
        <v>Valencia</v>
      </c>
      <c r="L32" s="7">
        <f t="shared" si="2"/>
        <v>48</v>
      </c>
      <c r="M32" s="7">
        <f t="shared" si="3"/>
        <v>18</v>
      </c>
      <c r="N32" s="7">
        <f t="shared" si="4"/>
        <v>30</v>
      </c>
      <c r="O32" s="8">
        <f t="shared" si="5"/>
        <v>0.625</v>
      </c>
    </row>
    <row r="33" spans="1:15" x14ac:dyDescent="0.2">
      <c r="A33">
        <v>10032</v>
      </c>
      <c r="B33" s="2">
        <v>46288</v>
      </c>
      <c r="C33" t="s">
        <v>18</v>
      </c>
      <c r="D33" t="s">
        <v>9</v>
      </c>
      <c r="E33" t="s">
        <v>21</v>
      </c>
      <c r="F33">
        <v>6</v>
      </c>
      <c r="G33" s="3">
        <v>8</v>
      </c>
      <c r="H33" s="3">
        <v>3</v>
      </c>
      <c r="I33" t="str">
        <f t="shared" si="0"/>
        <v>Padel Balls</v>
      </c>
      <c r="J33" t="str">
        <f t="shared" si="1"/>
        <v>Seville</v>
      </c>
      <c r="L33" s="7">
        <f t="shared" si="2"/>
        <v>48</v>
      </c>
      <c r="M33" s="7">
        <f t="shared" si="3"/>
        <v>18</v>
      </c>
      <c r="N33" s="7">
        <f t="shared" si="4"/>
        <v>30</v>
      </c>
      <c r="O33" s="8">
        <f t="shared" si="5"/>
        <v>0.625</v>
      </c>
    </row>
    <row r="34" spans="1:15" x14ac:dyDescent="0.2">
      <c r="A34">
        <v>10033</v>
      </c>
      <c r="B34" s="2">
        <v>46255</v>
      </c>
      <c r="C34" t="s">
        <v>18</v>
      </c>
      <c r="D34" t="s">
        <v>9</v>
      </c>
      <c r="E34" t="s">
        <v>12</v>
      </c>
      <c r="F34">
        <v>7</v>
      </c>
      <c r="G34" s="3">
        <v>8</v>
      </c>
      <c r="H34" s="3">
        <v>3</v>
      </c>
      <c r="I34" t="str">
        <f t="shared" si="0"/>
        <v>Padel Balls</v>
      </c>
      <c r="J34" t="str">
        <f t="shared" si="1"/>
        <v>Valencia</v>
      </c>
      <c r="L34" s="7">
        <f t="shared" si="2"/>
        <v>56</v>
      </c>
      <c r="M34" s="7">
        <f t="shared" si="3"/>
        <v>21</v>
      </c>
      <c r="N34" s="7">
        <f t="shared" si="4"/>
        <v>35</v>
      </c>
      <c r="O34" s="8">
        <f t="shared" si="5"/>
        <v>0.625</v>
      </c>
    </row>
    <row r="35" spans="1:15" x14ac:dyDescent="0.2">
      <c r="A35">
        <v>10034</v>
      </c>
      <c r="B35" s="2">
        <v>46046</v>
      </c>
      <c r="C35" t="s">
        <v>11</v>
      </c>
      <c r="D35" t="s">
        <v>9</v>
      </c>
      <c r="E35" t="s">
        <v>21</v>
      </c>
      <c r="F35">
        <v>1</v>
      </c>
      <c r="G35" s="3">
        <v>12</v>
      </c>
      <c r="H35" s="3">
        <v>4</v>
      </c>
      <c r="I35" t="str">
        <f t="shared" si="0"/>
        <v>Wristband</v>
      </c>
      <c r="J35" t="str">
        <f t="shared" si="1"/>
        <v>Seville</v>
      </c>
      <c r="L35" s="7">
        <f t="shared" si="2"/>
        <v>12</v>
      </c>
      <c r="M35" s="7">
        <f t="shared" si="3"/>
        <v>4</v>
      </c>
      <c r="N35" s="7">
        <f t="shared" si="4"/>
        <v>8</v>
      </c>
      <c r="O35" s="8">
        <f t="shared" si="5"/>
        <v>0.66666666666666663</v>
      </c>
    </row>
    <row r="36" spans="1:15" x14ac:dyDescent="0.2">
      <c r="A36">
        <v>10035</v>
      </c>
      <c r="B36" s="2">
        <v>46212</v>
      </c>
      <c r="C36" t="s">
        <v>17</v>
      </c>
      <c r="D36" t="s">
        <v>9</v>
      </c>
      <c r="E36" t="s">
        <v>24</v>
      </c>
      <c r="F36">
        <v>1</v>
      </c>
      <c r="G36" s="3">
        <v>45</v>
      </c>
      <c r="H36" s="3">
        <v>21</v>
      </c>
      <c r="I36" t="str">
        <f t="shared" si="0"/>
        <v>Padel Bag</v>
      </c>
      <c r="J36" t="str">
        <f t="shared" si="1"/>
        <v>Madrid</v>
      </c>
      <c r="L36" s="7">
        <f t="shared" si="2"/>
        <v>45</v>
      </c>
      <c r="M36" s="7">
        <f t="shared" si="3"/>
        <v>21</v>
      </c>
      <c r="N36" s="7">
        <f t="shared" si="4"/>
        <v>24</v>
      </c>
      <c r="O36" s="8">
        <f t="shared" si="5"/>
        <v>0.53333333333333333</v>
      </c>
    </row>
    <row r="37" spans="1:15" x14ac:dyDescent="0.2">
      <c r="A37">
        <v>10036</v>
      </c>
      <c r="B37" s="2">
        <v>46284</v>
      </c>
      <c r="C37" t="s">
        <v>17</v>
      </c>
      <c r="D37" t="s">
        <v>9</v>
      </c>
      <c r="E37" t="s">
        <v>12</v>
      </c>
      <c r="F37">
        <v>8</v>
      </c>
      <c r="G37" s="3">
        <v>45</v>
      </c>
      <c r="H37" s="3">
        <v>21</v>
      </c>
      <c r="I37" t="str">
        <f t="shared" si="0"/>
        <v>Padel Bag</v>
      </c>
      <c r="J37" t="str">
        <f t="shared" si="1"/>
        <v>Valencia</v>
      </c>
      <c r="L37" s="7">
        <f t="shared" si="2"/>
        <v>360</v>
      </c>
      <c r="M37" s="7">
        <f t="shared" si="3"/>
        <v>168</v>
      </c>
      <c r="N37" s="7">
        <f t="shared" si="4"/>
        <v>192</v>
      </c>
      <c r="O37" s="8">
        <f t="shared" si="5"/>
        <v>0.53333333333333333</v>
      </c>
    </row>
    <row r="38" spans="1:15" x14ac:dyDescent="0.2">
      <c r="A38">
        <v>10037</v>
      </c>
      <c r="B38" s="2">
        <v>46280</v>
      </c>
      <c r="C38" t="s">
        <v>25</v>
      </c>
      <c r="D38" t="s">
        <v>20</v>
      </c>
      <c r="E38" t="s">
        <v>10</v>
      </c>
      <c r="F38">
        <v>1</v>
      </c>
      <c r="G38" s="3">
        <v>35</v>
      </c>
      <c r="H38" s="3">
        <v>16</v>
      </c>
      <c r="I38" t="str">
        <f t="shared" si="0"/>
        <v>Padel Shirt</v>
      </c>
      <c r="J38" t="str">
        <f t="shared" si="1"/>
        <v>Madrid</v>
      </c>
      <c r="L38" s="7">
        <f t="shared" si="2"/>
        <v>35</v>
      </c>
      <c r="M38" s="7">
        <f t="shared" si="3"/>
        <v>16</v>
      </c>
      <c r="N38" s="7">
        <f t="shared" si="4"/>
        <v>19</v>
      </c>
      <c r="O38" s="8">
        <f t="shared" si="5"/>
        <v>0.54285714285714282</v>
      </c>
    </row>
    <row r="39" spans="1:15" x14ac:dyDescent="0.2">
      <c r="A39">
        <v>10038</v>
      </c>
      <c r="B39" s="2">
        <v>46207</v>
      </c>
      <c r="C39" t="s">
        <v>11</v>
      </c>
      <c r="D39" t="s">
        <v>9</v>
      </c>
      <c r="E39" t="s">
        <v>12</v>
      </c>
      <c r="F39">
        <v>8</v>
      </c>
      <c r="G39" s="3">
        <v>12</v>
      </c>
      <c r="H39" s="3">
        <v>4</v>
      </c>
      <c r="I39" t="str">
        <f t="shared" si="0"/>
        <v>Wristband</v>
      </c>
      <c r="J39" t="str">
        <f t="shared" si="1"/>
        <v>Valencia</v>
      </c>
      <c r="L39" s="7">
        <f t="shared" si="2"/>
        <v>96</v>
      </c>
      <c r="M39" s="7">
        <f t="shared" si="3"/>
        <v>32</v>
      </c>
      <c r="N39" s="7">
        <f t="shared" si="4"/>
        <v>64</v>
      </c>
      <c r="O39" s="8">
        <f t="shared" si="5"/>
        <v>0.66666666666666663</v>
      </c>
    </row>
    <row r="40" spans="1:15" x14ac:dyDescent="0.2">
      <c r="A40">
        <v>10039</v>
      </c>
      <c r="B40" s="2">
        <v>46289</v>
      </c>
      <c r="C40" t="s">
        <v>16</v>
      </c>
      <c r="D40" t="s">
        <v>14</v>
      </c>
      <c r="E40" t="s">
        <v>10</v>
      </c>
      <c r="F40">
        <v>6</v>
      </c>
      <c r="G40" s="3">
        <v>120</v>
      </c>
      <c r="H40" s="3">
        <v>72</v>
      </c>
      <c r="I40" t="str">
        <f t="shared" si="0"/>
        <v>Padel Racket</v>
      </c>
      <c r="J40" t="str">
        <f t="shared" si="1"/>
        <v>Madrid</v>
      </c>
      <c r="L40" s="7">
        <f t="shared" si="2"/>
        <v>720</v>
      </c>
      <c r="M40" s="7">
        <f t="shared" si="3"/>
        <v>432</v>
      </c>
      <c r="N40" s="7">
        <f t="shared" si="4"/>
        <v>288</v>
      </c>
      <c r="O40" s="8">
        <f t="shared" si="5"/>
        <v>0.4</v>
      </c>
    </row>
    <row r="41" spans="1:15" x14ac:dyDescent="0.2">
      <c r="A41">
        <v>10040</v>
      </c>
      <c r="B41" s="2">
        <v>46224</v>
      </c>
      <c r="C41" t="s">
        <v>18</v>
      </c>
      <c r="D41" t="s">
        <v>9</v>
      </c>
      <c r="E41" t="s">
        <v>15</v>
      </c>
      <c r="F41">
        <v>8</v>
      </c>
      <c r="G41" s="3">
        <v>8</v>
      </c>
      <c r="H41" s="3">
        <v>3</v>
      </c>
      <c r="I41" t="str">
        <f t="shared" si="0"/>
        <v>Padel Balls</v>
      </c>
      <c r="J41" t="str">
        <f t="shared" si="1"/>
        <v>Barcelona</v>
      </c>
      <c r="L41" s="7">
        <f t="shared" si="2"/>
        <v>64</v>
      </c>
      <c r="M41" s="7">
        <f t="shared" si="3"/>
        <v>24</v>
      </c>
      <c r="N41" s="7">
        <f t="shared" si="4"/>
        <v>40</v>
      </c>
      <c r="O41" s="8">
        <f t="shared" si="5"/>
        <v>0.625</v>
      </c>
    </row>
    <row r="42" spans="1:15" x14ac:dyDescent="0.2">
      <c r="A42">
        <v>10041</v>
      </c>
      <c r="B42" s="2">
        <v>46025</v>
      </c>
      <c r="C42" t="s">
        <v>23</v>
      </c>
      <c r="D42" t="s">
        <v>20</v>
      </c>
      <c r="E42" t="s">
        <v>15</v>
      </c>
      <c r="F42">
        <v>1</v>
      </c>
      <c r="G42" s="3">
        <v>90</v>
      </c>
      <c r="H42" s="3">
        <v>49</v>
      </c>
      <c r="I42" t="str">
        <f t="shared" si="0"/>
        <v>Padel Shoes</v>
      </c>
      <c r="J42" t="str">
        <f t="shared" si="1"/>
        <v>Barcelona</v>
      </c>
      <c r="L42" s="7">
        <f t="shared" si="2"/>
        <v>90</v>
      </c>
      <c r="M42" s="7">
        <f t="shared" si="3"/>
        <v>49</v>
      </c>
      <c r="N42" s="7">
        <f t="shared" si="4"/>
        <v>41</v>
      </c>
      <c r="O42" s="8">
        <f t="shared" si="5"/>
        <v>0.45555555555555555</v>
      </c>
    </row>
    <row r="43" spans="1:15" x14ac:dyDescent="0.2">
      <c r="A43">
        <v>10042</v>
      </c>
      <c r="B43" s="2">
        <v>46138</v>
      </c>
      <c r="C43" t="s">
        <v>25</v>
      </c>
      <c r="D43" t="s">
        <v>20</v>
      </c>
      <c r="E43" t="s">
        <v>10</v>
      </c>
      <c r="F43">
        <v>7</v>
      </c>
      <c r="G43" s="3">
        <v>35</v>
      </c>
      <c r="H43" s="3">
        <v>16</v>
      </c>
      <c r="I43" t="str">
        <f t="shared" si="0"/>
        <v>Padel Shirt</v>
      </c>
      <c r="J43" t="str">
        <f t="shared" si="1"/>
        <v>Madrid</v>
      </c>
      <c r="L43" s="7">
        <f t="shared" si="2"/>
        <v>245</v>
      </c>
      <c r="M43" s="7">
        <f t="shared" si="3"/>
        <v>112</v>
      </c>
      <c r="N43" s="7">
        <f t="shared" si="4"/>
        <v>133</v>
      </c>
      <c r="O43" s="8">
        <f t="shared" si="5"/>
        <v>0.54285714285714282</v>
      </c>
    </row>
    <row r="44" spans="1:15" x14ac:dyDescent="0.2">
      <c r="A44">
        <v>10043</v>
      </c>
      <c r="B44" s="2">
        <v>46276</v>
      </c>
      <c r="C44" t="s">
        <v>18</v>
      </c>
      <c r="D44" t="s">
        <v>9</v>
      </c>
      <c r="E44" t="s">
        <v>21</v>
      </c>
      <c r="F44">
        <v>2</v>
      </c>
      <c r="G44" s="3">
        <v>8</v>
      </c>
      <c r="H44" s="3">
        <v>3</v>
      </c>
      <c r="I44" t="str">
        <f t="shared" si="0"/>
        <v>Padel Balls</v>
      </c>
      <c r="J44" t="str">
        <f t="shared" si="1"/>
        <v>Seville</v>
      </c>
      <c r="L44" s="7">
        <f t="shared" si="2"/>
        <v>16</v>
      </c>
      <c r="M44" s="7">
        <f t="shared" si="3"/>
        <v>6</v>
      </c>
      <c r="N44" s="7">
        <f t="shared" si="4"/>
        <v>10</v>
      </c>
      <c r="O44" s="8">
        <f t="shared" si="5"/>
        <v>0.625</v>
      </c>
    </row>
    <row r="45" spans="1:15" x14ac:dyDescent="0.2">
      <c r="A45">
        <v>10044</v>
      </c>
      <c r="B45" s="2">
        <v>46091</v>
      </c>
      <c r="C45" t="s">
        <v>25</v>
      </c>
      <c r="D45" t="s">
        <v>20</v>
      </c>
      <c r="E45" t="s">
        <v>21</v>
      </c>
      <c r="F45">
        <v>4</v>
      </c>
      <c r="G45" s="3">
        <v>35</v>
      </c>
      <c r="H45" s="3">
        <v>16</v>
      </c>
      <c r="I45" t="str">
        <f t="shared" si="0"/>
        <v>Padel Shirt</v>
      </c>
      <c r="J45" t="str">
        <f t="shared" si="1"/>
        <v>Seville</v>
      </c>
      <c r="L45" s="7">
        <f t="shared" si="2"/>
        <v>140</v>
      </c>
      <c r="M45" s="7">
        <f t="shared" si="3"/>
        <v>64</v>
      </c>
      <c r="N45" s="7">
        <f t="shared" si="4"/>
        <v>76</v>
      </c>
      <c r="O45" s="8">
        <f t="shared" si="5"/>
        <v>0.54285714285714282</v>
      </c>
    </row>
    <row r="46" spans="1:15" x14ac:dyDescent="0.2">
      <c r="A46">
        <v>10045</v>
      </c>
      <c r="B46" s="2">
        <v>46129</v>
      </c>
      <c r="C46" t="s">
        <v>25</v>
      </c>
      <c r="D46" t="s">
        <v>20</v>
      </c>
      <c r="E46" t="s">
        <v>15</v>
      </c>
      <c r="F46">
        <v>5</v>
      </c>
      <c r="G46" s="3">
        <v>35</v>
      </c>
      <c r="H46" s="3">
        <v>16</v>
      </c>
      <c r="I46" t="str">
        <f t="shared" si="0"/>
        <v>Padel Shirt</v>
      </c>
      <c r="J46" t="str">
        <f t="shared" si="1"/>
        <v>Barcelona</v>
      </c>
      <c r="L46" s="7">
        <f t="shared" si="2"/>
        <v>175</v>
      </c>
      <c r="M46" s="7">
        <f t="shared" si="3"/>
        <v>80</v>
      </c>
      <c r="N46" s="7">
        <f t="shared" si="4"/>
        <v>95</v>
      </c>
      <c r="O46" s="8">
        <f t="shared" si="5"/>
        <v>0.54285714285714282</v>
      </c>
    </row>
    <row r="47" spans="1:15" x14ac:dyDescent="0.2">
      <c r="A47">
        <v>10046</v>
      </c>
      <c r="B47" s="2">
        <v>46279</v>
      </c>
      <c r="C47" t="s">
        <v>26</v>
      </c>
      <c r="D47" t="s">
        <v>9</v>
      </c>
      <c r="E47" t="s">
        <v>12</v>
      </c>
      <c r="F47">
        <v>1</v>
      </c>
      <c r="G47" s="3">
        <v>45</v>
      </c>
      <c r="H47" s="3">
        <v>21</v>
      </c>
      <c r="I47" t="str">
        <f t="shared" si="0"/>
        <v>Padel Bag</v>
      </c>
      <c r="J47" t="str">
        <f t="shared" si="1"/>
        <v>Valencia</v>
      </c>
      <c r="L47" s="7">
        <f t="shared" si="2"/>
        <v>45</v>
      </c>
      <c r="M47" s="7">
        <f t="shared" si="3"/>
        <v>21</v>
      </c>
      <c r="N47" s="7">
        <f t="shared" si="4"/>
        <v>24</v>
      </c>
      <c r="O47" s="8">
        <f t="shared" si="5"/>
        <v>0.53333333333333333</v>
      </c>
    </row>
    <row r="48" spans="1:15" x14ac:dyDescent="0.2">
      <c r="A48">
        <v>10047</v>
      </c>
      <c r="B48" s="2">
        <v>46132</v>
      </c>
      <c r="C48" t="s">
        <v>13</v>
      </c>
      <c r="D48" t="s">
        <v>14</v>
      </c>
      <c r="E48" t="s">
        <v>15</v>
      </c>
      <c r="F48">
        <v>7</v>
      </c>
      <c r="G48" s="3">
        <v>190</v>
      </c>
      <c r="H48" s="3">
        <v>112</v>
      </c>
      <c r="I48" t="str">
        <f t="shared" si="0"/>
        <v>Premium Racket</v>
      </c>
      <c r="J48" t="str">
        <f t="shared" si="1"/>
        <v>Barcelona</v>
      </c>
      <c r="L48" s="7">
        <f t="shared" si="2"/>
        <v>1330</v>
      </c>
      <c r="M48" s="7">
        <f t="shared" si="3"/>
        <v>784</v>
      </c>
      <c r="N48" s="7">
        <f t="shared" si="4"/>
        <v>546</v>
      </c>
      <c r="O48" s="8">
        <f t="shared" si="5"/>
        <v>0.41052631578947368</v>
      </c>
    </row>
    <row r="49" spans="1:15" x14ac:dyDescent="0.2">
      <c r="A49">
        <v>10048</v>
      </c>
      <c r="B49" s="2">
        <v>46161</v>
      </c>
      <c r="C49" t="s">
        <v>23</v>
      </c>
      <c r="D49" t="s">
        <v>20</v>
      </c>
      <c r="E49" t="s">
        <v>21</v>
      </c>
      <c r="F49">
        <v>7</v>
      </c>
      <c r="G49" s="3">
        <v>90</v>
      </c>
      <c r="H49" s="3">
        <v>49</v>
      </c>
      <c r="I49" t="str">
        <f t="shared" si="0"/>
        <v>Padel Shoes</v>
      </c>
      <c r="J49" t="str">
        <f t="shared" si="1"/>
        <v>Seville</v>
      </c>
      <c r="L49" s="7">
        <f t="shared" si="2"/>
        <v>630</v>
      </c>
      <c r="M49" s="7">
        <f t="shared" si="3"/>
        <v>343</v>
      </c>
      <c r="N49" s="7">
        <f t="shared" si="4"/>
        <v>287</v>
      </c>
      <c r="O49" s="8">
        <f t="shared" si="5"/>
        <v>0.45555555555555555</v>
      </c>
    </row>
    <row r="50" spans="1:15" x14ac:dyDescent="0.2">
      <c r="A50">
        <v>10049</v>
      </c>
      <c r="B50" s="2">
        <v>46148</v>
      </c>
      <c r="C50" t="s">
        <v>17</v>
      </c>
      <c r="D50" t="s">
        <v>9</v>
      </c>
      <c r="E50" t="s">
        <v>10</v>
      </c>
      <c r="F50">
        <v>2</v>
      </c>
      <c r="G50" s="3">
        <v>45</v>
      </c>
      <c r="H50" s="3">
        <v>21</v>
      </c>
      <c r="I50" t="str">
        <f t="shared" si="0"/>
        <v>Padel Bag</v>
      </c>
      <c r="J50" t="str">
        <f t="shared" si="1"/>
        <v>Madrid</v>
      </c>
      <c r="L50" s="7">
        <f t="shared" si="2"/>
        <v>90</v>
      </c>
      <c r="M50" s="7">
        <f t="shared" si="3"/>
        <v>42</v>
      </c>
      <c r="N50" s="7">
        <f t="shared" si="4"/>
        <v>48</v>
      </c>
      <c r="O50" s="8">
        <f t="shared" si="5"/>
        <v>0.53333333333333333</v>
      </c>
    </row>
    <row r="51" spans="1:15" x14ac:dyDescent="0.2">
      <c r="A51">
        <v>10050</v>
      </c>
      <c r="B51" s="2">
        <v>46187</v>
      </c>
      <c r="C51" t="s">
        <v>23</v>
      </c>
      <c r="D51" t="s">
        <v>20</v>
      </c>
      <c r="E51" t="s">
        <v>15</v>
      </c>
      <c r="F51">
        <v>1</v>
      </c>
      <c r="G51" s="3">
        <v>90</v>
      </c>
      <c r="H51" s="3">
        <v>49</v>
      </c>
      <c r="I51" t="str">
        <f t="shared" si="0"/>
        <v>Padel Shoes</v>
      </c>
      <c r="J51" t="str">
        <f t="shared" si="1"/>
        <v>Barcelona</v>
      </c>
      <c r="L51" s="7">
        <f t="shared" si="2"/>
        <v>90</v>
      </c>
      <c r="M51" s="7">
        <f t="shared" si="3"/>
        <v>49</v>
      </c>
      <c r="N51" s="7">
        <f t="shared" si="4"/>
        <v>41</v>
      </c>
      <c r="O51" s="8">
        <f t="shared" si="5"/>
        <v>0.45555555555555555</v>
      </c>
    </row>
    <row r="52" spans="1:15" x14ac:dyDescent="0.2">
      <c r="A52">
        <v>10051</v>
      </c>
      <c r="B52" s="2">
        <v>46173</v>
      </c>
      <c r="C52" t="s">
        <v>17</v>
      </c>
      <c r="D52" t="s">
        <v>9</v>
      </c>
      <c r="E52" t="s">
        <v>15</v>
      </c>
      <c r="F52">
        <v>2</v>
      </c>
      <c r="G52" s="3">
        <v>45</v>
      </c>
      <c r="H52" s="3">
        <v>21</v>
      </c>
      <c r="I52" t="str">
        <f t="shared" si="0"/>
        <v>Padel Bag</v>
      </c>
      <c r="J52" t="str">
        <f t="shared" si="1"/>
        <v>Barcelona</v>
      </c>
      <c r="L52" s="7">
        <f t="shared" si="2"/>
        <v>90</v>
      </c>
      <c r="M52" s="7">
        <f t="shared" si="3"/>
        <v>42</v>
      </c>
      <c r="N52" s="7">
        <f t="shared" si="4"/>
        <v>48</v>
      </c>
      <c r="O52" s="8">
        <f t="shared" si="5"/>
        <v>0.53333333333333333</v>
      </c>
    </row>
    <row r="53" spans="1:15" x14ac:dyDescent="0.2">
      <c r="A53">
        <v>10052</v>
      </c>
      <c r="B53" s="2">
        <v>46282</v>
      </c>
      <c r="C53" t="s">
        <v>13</v>
      </c>
      <c r="D53" t="s">
        <v>14</v>
      </c>
      <c r="E53" t="s">
        <v>15</v>
      </c>
      <c r="F53">
        <v>4</v>
      </c>
      <c r="G53" s="3">
        <v>190</v>
      </c>
      <c r="H53" s="3">
        <v>112</v>
      </c>
      <c r="I53" t="str">
        <f t="shared" si="0"/>
        <v>Premium Racket</v>
      </c>
      <c r="J53" t="str">
        <f t="shared" si="1"/>
        <v>Barcelona</v>
      </c>
      <c r="L53" s="7">
        <f t="shared" si="2"/>
        <v>760</v>
      </c>
      <c r="M53" s="7">
        <f t="shared" si="3"/>
        <v>448</v>
      </c>
      <c r="N53" s="7">
        <f t="shared" si="4"/>
        <v>312</v>
      </c>
      <c r="O53" s="8">
        <f t="shared" si="5"/>
        <v>0.41052631578947368</v>
      </c>
    </row>
    <row r="54" spans="1:15" x14ac:dyDescent="0.2">
      <c r="A54">
        <v>10053</v>
      </c>
      <c r="B54" s="2">
        <v>46101</v>
      </c>
      <c r="C54" t="s">
        <v>25</v>
      </c>
      <c r="D54" t="s">
        <v>20</v>
      </c>
      <c r="E54" t="s">
        <v>10</v>
      </c>
      <c r="F54">
        <v>7</v>
      </c>
      <c r="G54" s="3">
        <v>35</v>
      </c>
      <c r="H54" s="3">
        <v>16</v>
      </c>
      <c r="I54" t="str">
        <f t="shared" si="0"/>
        <v>Padel Shirt</v>
      </c>
      <c r="J54" t="str">
        <f t="shared" si="1"/>
        <v>Madrid</v>
      </c>
      <c r="L54" s="7">
        <f t="shared" si="2"/>
        <v>245</v>
      </c>
      <c r="M54" s="7">
        <f t="shared" si="3"/>
        <v>112</v>
      </c>
      <c r="N54" s="7">
        <f t="shared" si="4"/>
        <v>133</v>
      </c>
      <c r="O54" s="8">
        <f t="shared" si="5"/>
        <v>0.54285714285714282</v>
      </c>
    </row>
    <row r="55" spans="1:15" x14ac:dyDescent="0.2">
      <c r="A55">
        <v>10054</v>
      </c>
      <c r="B55" s="2">
        <v>46233</v>
      </c>
      <c r="C55" t="s">
        <v>13</v>
      </c>
      <c r="D55" t="s">
        <v>14</v>
      </c>
      <c r="E55" t="s">
        <v>12</v>
      </c>
      <c r="F55">
        <v>5</v>
      </c>
      <c r="G55" s="3">
        <v>190</v>
      </c>
      <c r="H55" s="3">
        <v>112</v>
      </c>
      <c r="I55" t="str">
        <f t="shared" si="0"/>
        <v>Premium Racket</v>
      </c>
      <c r="J55" t="str">
        <f t="shared" si="1"/>
        <v>Valencia</v>
      </c>
      <c r="L55" s="7">
        <f t="shared" si="2"/>
        <v>950</v>
      </c>
      <c r="M55" s="7">
        <f t="shared" si="3"/>
        <v>560</v>
      </c>
      <c r="N55" s="7">
        <f t="shared" si="4"/>
        <v>390</v>
      </c>
      <c r="O55" s="8">
        <f t="shared" si="5"/>
        <v>0.41052631578947368</v>
      </c>
    </row>
    <row r="56" spans="1:15" x14ac:dyDescent="0.2">
      <c r="A56">
        <v>10055</v>
      </c>
      <c r="B56" s="2">
        <v>46029</v>
      </c>
      <c r="C56" t="s">
        <v>23</v>
      </c>
      <c r="D56" t="s">
        <v>20</v>
      </c>
      <c r="E56" t="s">
        <v>15</v>
      </c>
      <c r="F56">
        <v>5</v>
      </c>
      <c r="G56" s="3">
        <v>90</v>
      </c>
      <c r="H56" s="3">
        <v>49</v>
      </c>
      <c r="I56" t="str">
        <f t="shared" si="0"/>
        <v>Padel Shoes</v>
      </c>
      <c r="J56" t="str">
        <f t="shared" si="1"/>
        <v>Barcelona</v>
      </c>
      <c r="L56" s="7">
        <f t="shared" si="2"/>
        <v>450</v>
      </c>
      <c r="M56" s="7">
        <f t="shared" si="3"/>
        <v>245</v>
      </c>
      <c r="N56" s="7">
        <f t="shared" si="4"/>
        <v>205</v>
      </c>
      <c r="O56" s="8">
        <f t="shared" si="5"/>
        <v>0.45555555555555555</v>
      </c>
    </row>
    <row r="57" spans="1:15" x14ac:dyDescent="0.2">
      <c r="A57">
        <v>10056</v>
      </c>
      <c r="B57" s="2">
        <v>46244</v>
      </c>
      <c r="C57" t="s">
        <v>17</v>
      </c>
      <c r="D57" t="s">
        <v>9</v>
      </c>
      <c r="E57" t="s">
        <v>21</v>
      </c>
      <c r="F57">
        <v>8</v>
      </c>
      <c r="G57" s="3">
        <v>45</v>
      </c>
      <c r="H57" s="3">
        <v>21</v>
      </c>
      <c r="I57" t="str">
        <f t="shared" si="0"/>
        <v>Padel Bag</v>
      </c>
      <c r="J57" t="str">
        <f t="shared" si="1"/>
        <v>Seville</v>
      </c>
      <c r="L57" s="7">
        <f t="shared" si="2"/>
        <v>360</v>
      </c>
      <c r="M57" s="7">
        <f t="shared" si="3"/>
        <v>168</v>
      </c>
      <c r="N57" s="7">
        <f t="shared" si="4"/>
        <v>192</v>
      </c>
      <c r="O57" s="8">
        <f t="shared" si="5"/>
        <v>0.53333333333333333</v>
      </c>
    </row>
    <row r="58" spans="1:15" x14ac:dyDescent="0.2">
      <c r="A58">
        <v>10057</v>
      </c>
      <c r="B58" s="2">
        <v>46083</v>
      </c>
      <c r="C58" t="s">
        <v>11</v>
      </c>
      <c r="D58" t="s">
        <v>9</v>
      </c>
      <c r="E58" t="s">
        <v>15</v>
      </c>
      <c r="F58">
        <v>1</v>
      </c>
      <c r="G58" s="3">
        <v>12</v>
      </c>
      <c r="H58" s="3">
        <v>4</v>
      </c>
      <c r="I58" t="str">
        <f t="shared" si="0"/>
        <v>Wristband</v>
      </c>
      <c r="J58" t="str">
        <f t="shared" si="1"/>
        <v>Barcelona</v>
      </c>
      <c r="L58" s="7">
        <f t="shared" si="2"/>
        <v>12</v>
      </c>
      <c r="M58" s="7">
        <f t="shared" si="3"/>
        <v>4</v>
      </c>
      <c r="N58" s="7">
        <f t="shared" si="4"/>
        <v>8</v>
      </c>
      <c r="O58" s="8">
        <f t="shared" si="5"/>
        <v>0.66666666666666663</v>
      </c>
    </row>
    <row r="59" spans="1:15" x14ac:dyDescent="0.2">
      <c r="A59">
        <v>10058</v>
      </c>
      <c r="B59" s="2">
        <v>46050</v>
      </c>
      <c r="C59" t="s">
        <v>17</v>
      </c>
      <c r="D59" t="s">
        <v>9</v>
      </c>
      <c r="E59" t="s">
        <v>10</v>
      </c>
      <c r="F59">
        <v>2</v>
      </c>
      <c r="G59" s="3">
        <v>45</v>
      </c>
      <c r="H59" s="3">
        <v>21</v>
      </c>
      <c r="I59" t="str">
        <f t="shared" si="0"/>
        <v>Padel Bag</v>
      </c>
      <c r="J59" t="str">
        <f t="shared" si="1"/>
        <v>Madrid</v>
      </c>
      <c r="L59" s="7">
        <f t="shared" si="2"/>
        <v>90</v>
      </c>
      <c r="M59" s="7">
        <f t="shared" si="3"/>
        <v>42</v>
      </c>
      <c r="N59" s="7">
        <f t="shared" si="4"/>
        <v>48</v>
      </c>
      <c r="O59" s="8">
        <f t="shared" si="5"/>
        <v>0.53333333333333333</v>
      </c>
    </row>
    <row r="60" spans="1:15" x14ac:dyDescent="0.2">
      <c r="A60">
        <v>10059</v>
      </c>
      <c r="B60" s="2">
        <v>46180</v>
      </c>
      <c r="C60" t="s">
        <v>25</v>
      </c>
      <c r="D60" t="s">
        <v>20</v>
      </c>
      <c r="E60" t="s">
        <v>15</v>
      </c>
      <c r="F60">
        <v>5</v>
      </c>
      <c r="G60" s="3">
        <v>35</v>
      </c>
      <c r="H60" s="3">
        <v>16</v>
      </c>
      <c r="I60" t="str">
        <f t="shared" si="0"/>
        <v>Padel Shirt</v>
      </c>
      <c r="J60" t="str">
        <f t="shared" si="1"/>
        <v>Barcelona</v>
      </c>
      <c r="L60" s="7">
        <f t="shared" si="2"/>
        <v>175</v>
      </c>
      <c r="M60" s="7">
        <f t="shared" si="3"/>
        <v>80</v>
      </c>
      <c r="N60" s="7">
        <f t="shared" si="4"/>
        <v>95</v>
      </c>
      <c r="O60" s="8">
        <f t="shared" si="5"/>
        <v>0.54285714285714282</v>
      </c>
    </row>
    <row r="61" spans="1:15" x14ac:dyDescent="0.2">
      <c r="A61">
        <v>10060</v>
      </c>
      <c r="B61" s="2">
        <v>46181</v>
      </c>
      <c r="C61" t="s">
        <v>16</v>
      </c>
      <c r="D61" t="s">
        <v>14</v>
      </c>
      <c r="E61" t="s">
        <v>12</v>
      </c>
      <c r="F61">
        <v>6</v>
      </c>
      <c r="G61" s="3">
        <v>120</v>
      </c>
      <c r="H61" s="3">
        <v>72</v>
      </c>
      <c r="I61" t="str">
        <f t="shared" si="0"/>
        <v>Padel Racket</v>
      </c>
      <c r="J61" t="str">
        <f t="shared" si="1"/>
        <v>Valencia</v>
      </c>
      <c r="L61" s="7">
        <f t="shared" si="2"/>
        <v>720</v>
      </c>
      <c r="M61" s="7">
        <f t="shared" si="3"/>
        <v>432</v>
      </c>
      <c r="N61" s="7">
        <f t="shared" si="4"/>
        <v>288</v>
      </c>
      <c r="O61" s="8">
        <f t="shared" si="5"/>
        <v>0.4</v>
      </c>
    </row>
    <row r="62" spans="1:15" x14ac:dyDescent="0.2">
      <c r="A62">
        <v>10061</v>
      </c>
      <c r="B62" s="2">
        <v>46178</v>
      </c>
      <c r="C62" t="s">
        <v>25</v>
      </c>
      <c r="D62" t="s">
        <v>20</v>
      </c>
      <c r="E62" t="s">
        <v>10</v>
      </c>
      <c r="F62">
        <v>8</v>
      </c>
      <c r="G62" s="3">
        <v>35</v>
      </c>
      <c r="H62" s="3">
        <v>16</v>
      </c>
      <c r="I62" t="str">
        <f t="shared" si="0"/>
        <v>Padel Shirt</v>
      </c>
      <c r="J62" t="str">
        <f t="shared" si="1"/>
        <v>Madrid</v>
      </c>
      <c r="L62" s="7">
        <f t="shared" si="2"/>
        <v>280</v>
      </c>
      <c r="M62" s="7">
        <f t="shared" si="3"/>
        <v>128</v>
      </c>
      <c r="N62" s="7">
        <f t="shared" si="4"/>
        <v>152</v>
      </c>
      <c r="O62" s="8">
        <f t="shared" si="5"/>
        <v>0.54285714285714282</v>
      </c>
    </row>
    <row r="63" spans="1:15" x14ac:dyDescent="0.2">
      <c r="A63">
        <v>10062</v>
      </c>
      <c r="B63" s="2">
        <v>46023</v>
      </c>
      <c r="C63" t="s">
        <v>25</v>
      </c>
      <c r="D63" t="s">
        <v>20</v>
      </c>
      <c r="E63" t="s">
        <v>12</v>
      </c>
      <c r="F63">
        <v>6</v>
      </c>
      <c r="G63" s="3">
        <v>35</v>
      </c>
      <c r="H63" s="3">
        <v>16</v>
      </c>
      <c r="I63" t="str">
        <f t="shared" si="0"/>
        <v>Padel Shirt</v>
      </c>
      <c r="J63" t="str">
        <f t="shared" si="1"/>
        <v>Valencia</v>
      </c>
      <c r="L63" s="7">
        <f t="shared" si="2"/>
        <v>210</v>
      </c>
      <c r="M63" s="7">
        <f t="shared" si="3"/>
        <v>96</v>
      </c>
      <c r="N63" s="7">
        <f t="shared" si="4"/>
        <v>114</v>
      </c>
      <c r="O63" s="8">
        <f t="shared" si="5"/>
        <v>0.54285714285714282</v>
      </c>
    </row>
    <row r="64" spans="1:15" x14ac:dyDescent="0.2">
      <c r="A64">
        <v>10063</v>
      </c>
      <c r="B64" s="2">
        <v>46170</v>
      </c>
      <c r="C64" t="s">
        <v>25</v>
      </c>
      <c r="D64" t="s">
        <v>20</v>
      </c>
      <c r="E64" t="s">
        <v>10</v>
      </c>
      <c r="F64">
        <v>2</v>
      </c>
      <c r="G64" s="3">
        <v>35</v>
      </c>
      <c r="H64" s="3">
        <v>16</v>
      </c>
      <c r="I64" t="str">
        <f t="shared" si="0"/>
        <v>Padel Shirt</v>
      </c>
      <c r="J64" t="str">
        <f t="shared" si="1"/>
        <v>Madrid</v>
      </c>
      <c r="K64" t="s">
        <v>53</v>
      </c>
      <c r="L64" s="7">
        <f t="shared" si="2"/>
        <v>70</v>
      </c>
      <c r="M64" s="7">
        <f t="shared" si="3"/>
        <v>32</v>
      </c>
      <c r="N64" s="7">
        <f t="shared" si="4"/>
        <v>38</v>
      </c>
      <c r="O64" s="8">
        <f t="shared" si="5"/>
        <v>0.54285714285714282</v>
      </c>
    </row>
    <row r="65" spans="1:15" x14ac:dyDescent="0.2">
      <c r="A65">
        <v>10064</v>
      </c>
      <c r="B65" s="2">
        <v>46220</v>
      </c>
      <c r="C65" t="s">
        <v>23</v>
      </c>
      <c r="D65" t="s">
        <v>20</v>
      </c>
      <c r="E65" t="s">
        <v>10</v>
      </c>
      <c r="F65">
        <v>3</v>
      </c>
      <c r="G65" s="3">
        <v>90</v>
      </c>
      <c r="H65" s="3">
        <v>49</v>
      </c>
      <c r="I65" t="str">
        <f t="shared" si="0"/>
        <v>Padel Shoes</v>
      </c>
      <c r="J65" t="str">
        <f t="shared" si="1"/>
        <v>Madrid</v>
      </c>
      <c r="L65" s="7">
        <f t="shared" si="2"/>
        <v>270</v>
      </c>
      <c r="M65" s="7">
        <f t="shared" si="3"/>
        <v>147</v>
      </c>
      <c r="N65" s="7">
        <f t="shared" si="4"/>
        <v>123</v>
      </c>
      <c r="O65" s="8">
        <f t="shared" si="5"/>
        <v>0.45555555555555555</v>
      </c>
    </row>
    <row r="66" spans="1:15" x14ac:dyDescent="0.2">
      <c r="A66">
        <v>10065</v>
      </c>
      <c r="B66" s="2">
        <v>46280</v>
      </c>
      <c r="C66" t="s">
        <v>13</v>
      </c>
      <c r="D66" t="s">
        <v>14</v>
      </c>
      <c r="E66" t="s">
        <v>10</v>
      </c>
      <c r="F66">
        <v>5</v>
      </c>
      <c r="G66" s="3">
        <v>190</v>
      </c>
      <c r="H66" s="3">
        <v>112</v>
      </c>
      <c r="I66" t="str">
        <f t="shared" si="0"/>
        <v>Premium Racket</v>
      </c>
      <c r="J66" t="str">
        <f t="shared" si="1"/>
        <v>Madrid</v>
      </c>
      <c r="L66" s="7">
        <f t="shared" si="2"/>
        <v>950</v>
      </c>
      <c r="M66" s="7">
        <f t="shared" si="3"/>
        <v>560</v>
      </c>
      <c r="N66" s="7">
        <f t="shared" si="4"/>
        <v>390</v>
      </c>
      <c r="O66" s="8">
        <f t="shared" si="5"/>
        <v>0.41052631578947368</v>
      </c>
    </row>
    <row r="67" spans="1:15" x14ac:dyDescent="0.2">
      <c r="A67">
        <v>10066</v>
      </c>
      <c r="B67" s="2">
        <v>46099</v>
      </c>
      <c r="C67" t="s">
        <v>25</v>
      </c>
      <c r="D67" t="s">
        <v>20</v>
      </c>
      <c r="E67" t="s">
        <v>12</v>
      </c>
      <c r="F67">
        <v>1</v>
      </c>
      <c r="G67" s="3">
        <v>35</v>
      </c>
      <c r="H67" s="3">
        <v>16</v>
      </c>
      <c r="I67" t="str">
        <f t="shared" ref="I67:I130" si="6">PROPER(TRIM(C67))</f>
        <v>Padel Shirt</v>
      </c>
      <c r="J67" t="str">
        <f t="shared" ref="J67:J130" si="7">PROPER(TRIM(E67))</f>
        <v>Valencia</v>
      </c>
      <c r="L67" s="7">
        <f t="shared" ref="L67:L130" si="8">F67*G67</f>
        <v>35</v>
      </c>
      <c r="M67" s="7">
        <f t="shared" ref="M67:M130" si="9">F67*H67</f>
        <v>16</v>
      </c>
      <c r="N67" s="7">
        <f t="shared" ref="N67:N130" si="10">L67-M67</f>
        <v>19</v>
      </c>
      <c r="O67" s="8">
        <f t="shared" ref="O67:O130" si="11">IF(L67=0,0,(N67/L67))</f>
        <v>0.54285714285714282</v>
      </c>
    </row>
    <row r="68" spans="1:15" x14ac:dyDescent="0.2">
      <c r="A68">
        <v>10067</v>
      </c>
      <c r="B68" s="2">
        <v>46239</v>
      </c>
      <c r="C68" t="s">
        <v>8</v>
      </c>
      <c r="D68" t="s">
        <v>9</v>
      </c>
      <c r="E68" t="s">
        <v>12</v>
      </c>
      <c r="F68">
        <v>4</v>
      </c>
      <c r="G68" s="3">
        <v>6</v>
      </c>
      <c r="H68" s="3">
        <v>2</v>
      </c>
      <c r="I68" t="str">
        <f t="shared" si="6"/>
        <v>Grip Tape</v>
      </c>
      <c r="J68" t="str">
        <f t="shared" si="7"/>
        <v>Valencia</v>
      </c>
      <c r="L68" s="7">
        <f t="shared" si="8"/>
        <v>24</v>
      </c>
      <c r="M68" s="7">
        <f t="shared" si="9"/>
        <v>8</v>
      </c>
      <c r="N68" s="7">
        <f t="shared" si="10"/>
        <v>16</v>
      </c>
      <c r="O68" s="8">
        <f t="shared" si="11"/>
        <v>0.66666666666666663</v>
      </c>
    </row>
    <row r="69" spans="1:15" x14ac:dyDescent="0.2">
      <c r="A69">
        <v>10068</v>
      </c>
      <c r="B69" s="2">
        <v>46041</v>
      </c>
      <c r="C69" t="s">
        <v>13</v>
      </c>
      <c r="D69" t="s">
        <v>14</v>
      </c>
      <c r="E69" t="s">
        <v>15</v>
      </c>
      <c r="F69">
        <v>1</v>
      </c>
      <c r="G69" s="3">
        <v>190</v>
      </c>
      <c r="H69" s="3">
        <v>112</v>
      </c>
      <c r="I69" t="str">
        <f t="shared" si="6"/>
        <v>Premium Racket</v>
      </c>
      <c r="J69" t="str">
        <f t="shared" si="7"/>
        <v>Barcelona</v>
      </c>
      <c r="L69" s="7">
        <f t="shared" si="8"/>
        <v>190</v>
      </c>
      <c r="M69" s="7">
        <f t="shared" si="9"/>
        <v>112</v>
      </c>
      <c r="N69" s="7">
        <f t="shared" si="10"/>
        <v>78</v>
      </c>
      <c r="O69" s="8">
        <f t="shared" si="11"/>
        <v>0.41052631578947368</v>
      </c>
    </row>
    <row r="70" spans="1:15" x14ac:dyDescent="0.2">
      <c r="A70">
        <v>10069</v>
      </c>
      <c r="B70" s="2">
        <v>46155</v>
      </c>
      <c r="C70" t="s">
        <v>25</v>
      </c>
      <c r="D70" t="s">
        <v>20</v>
      </c>
      <c r="E70" t="s">
        <v>12</v>
      </c>
      <c r="F70">
        <v>7</v>
      </c>
      <c r="G70" s="3">
        <v>35</v>
      </c>
      <c r="H70" s="3">
        <v>16</v>
      </c>
      <c r="I70" t="str">
        <f t="shared" si="6"/>
        <v>Padel Shirt</v>
      </c>
      <c r="J70" t="str">
        <f t="shared" si="7"/>
        <v>Valencia</v>
      </c>
      <c r="L70" s="7">
        <f t="shared" si="8"/>
        <v>245</v>
      </c>
      <c r="M70" s="7">
        <f t="shared" si="9"/>
        <v>112</v>
      </c>
      <c r="N70" s="7">
        <f t="shared" si="10"/>
        <v>133</v>
      </c>
      <c r="O70" s="8">
        <f t="shared" si="11"/>
        <v>0.54285714285714282</v>
      </c>
    </row>
    <row r="71" spans="1:15" x14ac:dyDescent="0.2">
      <c r="A71">
        <v>10070</v>
      </c>
      <c r="B71" s="2">
        <v>46236</v>
      </c>
      <c r="C71" t="s">
        <v>8</v>
      </c>
      <c r="D71" t="s">
        <v>9</v>
      </c>
      <c r="E71" t="s">
        <v>21</v>
      </c>
      <c r="F71">
        <v>4</v>
      </c>
      <c r="G71" s="3">
        <v>6</v>
      </c>
      <c r="H71" s="3">
        <v>2</v>
      </c>
      <c r="I71" t="str">
        <f t="shared" si="6"/>
        <v>Grip Tape</v>
      </c>
      <c r="J71" t="str">
        <f t="shared" si="7"/>
        <v>Seville</v>
      </c>
      <c r="L71" s="7">
        <f t="shared" si="8"/>
        <v>24</v>
      </c>
      <c r="M71" s="7">
        <f t="shared" si="9"/>
        <v>8</v>
      </c>
      <c r="N71" s="7">
        <f t="shared" si="10"/>
        <v>16</v>
      </c>
      <c r="O71" s="8">
        <f t="shared" si="11"/>
        <v>0.66666666666666663</v>
      </c>
    </row>
    <row r="72" spans="1:15" x14ac:dyDescent="0.2">
      <c r="A72">
        <v>10071</v>
      </c>
      <c r="B72" s="2">
        <v>46076</v>
      </c>
      <c r="C72" t="s">
        <v>13</v>
      </c>
      <c r="D72" t="s">
        <v>14</v>
      </c>
      <c r="E72" t="s">
        <v>15</v>
      </c>
      <c r="F72">
        <v>2</v>
      </c>
      <c r="G72" s="3">
        <v>190</v>
      </c>
      <c r="H72" s="3">
        <v>112</v>
      </c>
      <c r="I72" t="str">
        <f t="shared" si="6"/>
        <v>Premium Racket</v>
      </c>
      <c r="J72" t="str">
        <f t="shared" si="7"/>
        <v>Barcelona</v>
      </c>
      <c r="L72" s="7">
        <f t="shared" si="8"/>
        <v>380</v>
      </c>
      <c r="M72" s="7">
        <f t="shared" si="9"/>
        <v>224</v>
      </c>
      <c r="N72" s="7">
        <f t="shared" si="10"/>
        <v>156</v>
      </c>
      <c r="O72" s="8">
        <f t="shared" si="11"/>
        <v>0.41052631578947368</v>
      </c>
    </row>
    <row r="73" spans="1:15" x14ac:dyDescent="0.2">
      <c r="A73">
        <v>10072</v>
      </c>
      <c r="B73" s="2">
        <v>46080</v>
      </c>
      <c r="C73" t="s">
        <v>8</v>
      </c>
      <c r="D73" t="s">
        <v>9</v>
      </c>
      <c r="E73" t="s">
        <v>15</v>
      </c>
      <c r="F73">
        <v>8</v>
      </c>
      <c r="G73" s="3">
        <v>6</v>
      </c>
      <c r="H73" s="3">
        <v>2</v>
      </c>
      <c r="I73" t="str">
        <f t="shared" si="6"/>
        <v>Grip Tape</v>
      </c>
      <c r="J73" t="str">
        <f t="shared" si="7"/>
        <v>Barcelona</v>
      </c>
      <c r="L73" s="7">
        <f t="shared" si="8"/>
        <v>48</v>
      </c>
      <c r="M73" s="7">
        <f t="shared" si="9"/>
        <v>16</v>
      </c>
      <c r="N73" s="7">
        <f t="shared" si="10"/>
        <v>32</v>
      </c>
      <c r="O73" s="8">
        <f t="shared" si="11"/>
        <v>0.66666666666666663</v>
      </c>
    </row>
    <row r="74" spans="1:15" x14ac:dyDescent="0.2">
      <c r="A74">
        <v>10073</v>
      </c>
      <c r="B74" s="2">
        <v>46135</v>
      </c>
      <c r="C74" t="s">
        <v>23</v>
      </c>
      <c r="D74" t="s">
        <v>20</v>
      </c>
      <c r="E74" t="s">
        <v>21</v>
      </c>
      <c r="F74">
        <v>4</v>
      </c>
      <c r="G74" s="3">
        <v>90</v>
      </c>
      <c r="H74" s="3">
        <v>49</v>
      </c>
      <c r="I74" t="str">
        <f t="shared" si="6"/>
        <v>Padel Shoes</v>
      </c>
      <c r="J74" t="str">
        <f t="shared" si="7"/>
        <v>Seville</v>
      </c>
      <c r="L74" s="7">
        <f t="shared" si="8"/>
        <v>360</v>
      </c>
      <c r="M74" s="7">
        <f t="shared" si="9"/>
        <v>196</v>
      </c>
      <c r="N74" s="7">
        <f t="shared" si="10"/>
        <v>164</v>
      </c>
      <c r="O74" s="8">
        <f t="shared" si="11"/>
        <v>0.45555555555555555</v>
      </c>
    </row>
    <row r="75" spans="1:15" x14ac:dyDescent="0.2">
      <c r="A75">
        <v>10074</v>
      </c>
      <c r="B75" s="2">
        <v>46213</v>
      </c>
      <c r="C75" t="s">
        <v>8</v>
      </c>
      <c r="D75" t="s">
        <v>9</v>
      </c>
      <c r="E75" t="s">
        <v>27</v>
      </c>
      <c r="F75">
        <v>4</v>
      </c>
      <c r="G75" s="3">
        <v>6</v>
      </c>
      <c r="H75" s="3">
        <v>2</v>
      </c>
      <c r="I75" t="str">
        <f t="shared" si="6"/>
        <v>Grip Tape</v>
      </c>
      <c r="J75" t="str">
        <f t="shared" si="7"/>
        <v>Madrid</v>
      </c>
      <c r="L75" s="7">
        <f t="shared" si="8"/>
        <v>24</v>
      </c>
      <c r="M75" s="7">
        <f t="shared" si="9"/>
        <v>8</v>
      </c>
      <c r="N75" s="7">
        <f t="shared" si="10"/>
        <v>16</v>
      </c>
      <c r="O75" s="8">
        <f t="shared" si="11"/>
        <v>0.66666666666666663</v>
      </c>
    </row>
    <row r="76" spans="1:15" x14ac:dyDescent="0.2">
      <c r="A76">
        <v>10075</v>
      </c>
      <c r="B76" s="2">
        <v>46274</v>
      </c>
      <c r="C76" t="s">
        <v>25</v>
      </c>
      <c r="D76" t="s">
        <v>20</v>
      </c>
      <c r="E76" t="s">
        <v>12</v>
      </c>
      <c r="F76">
        <v>3</v>
      </c>
      <c r="G76" s="3">
        <v>35</v>
      </c>
      <c r="H76" s="3">
        <v>16</v>
      </c>
      <c r="I76" t="str">
        <f t="shared" si="6"/>
        <v>Padel Shirt</v>
      </c>
      <c r="J76" t="str">
        <f t="shared" si="7"/>
        <v>Valencia</v>
      </c>
      <c r="L76" s="7">
        <f t="shared" si="8"/>
        <v>105</v>
      </c>
      <c r="M76" s="7">
        <f t="shared" si="9"/>
        <v>48</v>
      </c>
      <c r="N76" s="7">
        <f t="shared" si="10"/>
        <v>57</v>
      </c>
      <c r="O76" s="8">
        <f t="shared" si="11"/>
        <v>0.54285714285714282</v>
      </c>
    </row>
    <row r="77" spans="1:15" x14ac:dyDescent="0.2">
      <c r="A77">
        <v>10076</v>
      </c>
      <c r="B77" s="2">
        <v>46222</v>
      </c>
      <c r="C77" t="s">
        <v>25</v>
      </c>
      <c r="D77" t="s">
        <v>20</v>
      </c>
      <c r="E77" t="s">
        <v>21</v>
      </c>
      <c r="F77">
        <v>4</v>
      </c>
      <c r="G77" s="3">
        <v>35</v>
      </c>
      <c r="H77" s="3">
        <v>16</v>
      </c>
      <c r="I77" t="str">
        <f t="shared" si="6"/>
        <v>Padel Shirt</v>
      </c>
      <c r="J77" t="str">
        <f t="shared" si="7"/>
        <v>Seville</v>
      </c>
      <c r="L77" s="7">
        <f t="shared" si="8"/>
        <v>140</v>
      </c>
      <c r="M77" s="7">
        <f t="shared" si="9"/>
        <v>64</v>
      </c>
      <c r="N77" s="7">
        <f t="shared" si="10"/>
        <v>76</v>
      </c>
      <c r="O77" s="8">
        <f t="shared" si="11"/>
        <v>0.54285714285714282</v>
      </c>
    </row>
    <row r="78" spans="1:15" x14ac:dyDescent="0.2">
      <c r="A78">
        <v>10077</v>
      </c>
      <c r="B78" s="2">
        <v>46199</v>
      </c>
      <c r="C78" t="s">
        <v>25</v>
      </c>
      <c r="D78" t="s">
        <v>20</v>
      </c>
      <c r="E78" t="s">
        <v>10</v>
      </c>
      <c r="F78">
        <v>7</v>
      </c>
      <c r="G78" s="3">
        <v>35</v>
      </c>
      <c r="H78" s="3">
        <v>16</v>
      </c>
      <c r="I78" t="str">
        <f t="shared" si="6"/>
        <v>Padel Shirt</v>
      </c>
      <c r="J78" t="str">
        <f t="shared" si="7"/>
        <v>Madrid</v>
      </c>
      <c r="L78" s="7">
        <f t="shared" si="8"/>
        <v>245</v>
      </c>
      <c r="M78" s="7">
        <f t="shared" si="9"/>
        <v>112</v>
      </c>
      <c r="N78" s="7">
        <f t="shared" si="10"/>
        <v>133</v>
      </c>
      <c r="O78" s="8">
        <f t="shared" si="11"/>
        <v>0.54285714285714282</v>
      </c>
    </row>
    <row r="79" spans="1:15" x14ac:dyDescent="0.2">
      <c r="A79">
        <v>10078</v>
      </c>
      <c r="B79" s="2">
        <v>46129</v>
      </c>
      <c r="C79" t="s">
        <v>13</v>
      </c>
      <c r="D79" t="s">
        <v>14</v>
      </c>
      <c r="E79" t="s">
        <v>12</v>
      </c>
      <c r="F79">
        <v>5</v>
      </c>
      <c r="G79" s="3">
        <v>190</v>
      </c>
      <c r="H79" s="3">
        <v>112</v>
      </c>
      <c r="I79" t="str">
        <f t="shared" si="6"/>
        <v>Premium Racket</v>
      </c>
      <c r="J79" t="str">
        <f t="shared" si="7"/>
        <v>Valencia</v>
      </c>
      <c r="L79" s="7">
        <f t="shared" si="8"/>
        <v>950</v>
      </c>
      <c r="M79" s="7">
        <f t="shared" si="9"/>
        <v>560</v>
      </c>
      <c r="N79" s="7">
        <f t="shared" si="10"/>
        <v>390</v>
      </c>
      <c r="O79" s="8">
        <f t="shared" si="11"/>
        <v>0.41052631578947368</v>
      </c>
    </row>
    <row r="80" spans="1:15" x14ac:dyDescent="0.2">
      <c r="A80">
        <v>10079</v>
      </c>
      <c r="B80" s="2">
        <v>46234</v>
      </c>
      <c r="C80" t="s">
        <v>11</v>
      </c>
      <c r="D80" t="s">
        <v>9</v>
      </c>
      <c r="E80" t="s">
        <v>12</v>
      </c>
      <c r="F80">
        <v>6</v>
      </c>
      <c r="G80" s="3">
        <v>12</v>
      </c>
      <c r="H80" s="3">
        <v>4</v>
      </c>
      <c r="I80" t="str">
        <f t="shared" si="6"/>
        <v>Wristband</v>
      </c>
      <c r="J80" t="str">
        <f t="shared" si="7"/>
        <v>Valencia</v>
      </c>
      <c r="L80" s="7">
        <f t="shared" si="8"/>
        <v>72</v>
      </c>
      <c r="M80" s="7">
        <f t="shared" si="9"/>
        <v>24</v>
      </c>
      <c r="N80" s="7">
        <f t="shared" si="10"/>
        <v>48</v>
      </c>
      <c r="O80" s="8">
        <f t="shared" si="11"/>
        <v>0.66666666666666663</v>
      </c>
    </row>
    <row r="81" spans="1:15" x14ac:dyDescent="0.2">
      <c r="A81">
        <v>10080</v>
      </c>
      <c r="B81" s="2">
        <v>46210</v>
      </c>
      <c r="C81" t="s">
        <v>8</v>
      </c>
      <c r="D81" t="s">
        <v>9</v>
      </c>
      <c r="E81" t="s">
        <v>10</v>
      </c>
      <c r="F81">
        <v>4</v>
      </c>
      <c r="G81" s="3">
        <v>6</v>
      </c>
      <c r="H81" s="3">
        <v>2</v>
      </c>
      <c r="I81" t="str">
        <f t="shared" si="6"/>
        <v>Grip Tape</v>
      </c>
      <c r="J81" t="str">
        <f t="shared" si="7"/>
        <v>Madrid</v>
      </c>
      <c r="L81" s="7">
        <f t="shared" si="8"/>
        <v>24</v>
      </c>
      <c r="M81" s="7">
        <f t="shared" si="9"/>
        <v>8</v>
      </c>
      <c r="N81" s="7">
        <f t="shared" si="10"/>
        <v>16</v>
      </c>
      <c r="O81" s="8">
        <f t="shared" si="11"/>
        <v>0.66666666666666663</v>
      </c>
    </row>
    <row r="82" spans="1:15" x14ac:dyDescent="0.2">
      <c r="A82">
        <v>10081</v>
      </c>
      <c r="B82" s="2">
        <v>46139</v>
      </c>
      <c r="C82" t="s">
        <v>23</v>
      </c>
      <c r="D82" t="s">
        <v>20</v>
      </c>
      <c r="E82" t="s">
        <v>15</v>
      </c>
      <c r="F82">
        <v>3</v>
      </c>
      <c r="G82" s="3">
        <v>90</v>
      </c>
      <c r="H82" s="3">
        <v>49</v>
      </c>
      <c r="I82" t="str">
        <f t="shared" si="6"/>
        <v>Padel Shoes</v>
      </c>
      <c r="J82" t="str">
        <f t="shared" si="7"/>
        <v>Barcelona</v>
      </c>
      <c r="L82" s="7">
        <f t="shared" si="8"/>
        <v>270</v>
      </c>
      <c r="M82" s="7">
        <f t="shared" si="9"/>
        <v>147</v>
      </c>
      <c r="N82" s="7">
        <f t="shared" si="10"/>
        <v>123</v>
      </c>
      <c r="O82" s="8">
        <f t="shared" si="11"/>
        <v>0.45555555555555555</v>
      </c>
    </row>
    <row r="83" spans="1:15" x14ac:dyDescent="0.2">
      <c r="A83">
        <v>10082</v>
      </c>
      <c r="B83" s="2">
        <v>46244</v>
      </c>
      <c r="C83" t="s">
        <v>25</v>
      </c>
      <c r="D83" t="s">
        <v>20</v>
      </c>
      <c r="E83" t="s">
        <v>15</v>
      </c>
      <c r="F83">
        <v>8</v>
      </c>
      <c r="G83" s="3">
        <v>35</v>
      </c>
      <c r="H83" s="3">
        <v>16</v>
      </c>
      <c r="I83" t="str">
        <f t="shared" si="6"/>
        <v>Padel Shirt</v>
      </c>
      <c r="J83" t="str">
        <f t="shared" si="7"/>
        <v>Barcelona</v>
      </c>
      <c r="L83" s="7">
        <f t="shared" si="8"/>
        <v>280</v>
      </c>
      <c r="M83" s="7">
        <f t="shared" si="9"/>
        <v>128</v>
      </c>
      <c r="N83" s="7">
        <f t="shared" si="10"/>
        <v>152</v>
      </c>
      <c r="O83" s="8">
        <f t="shared" si="11"/>
        <v>0.54285714285714282</v>
      </c>
    </row>
    <row r="84" spans="1:15" x14ac:dyDescent="0.2">
      <c r="A84">
        <v>10083</v>
      </c>
      <c r="B84" s="2">
        <v>46093</v>
      </c>
      <c r="C84" t="s">
        <v>11</v>
      </c>
      <c r="D84" t="s">
        <v>9</v>
      </c>
      <c r="E84" t="s">
        <v>10</v>
      </c>
      <c r="F84">
        <v>4</v>
      </c>
      <c r="G84" s="3">
        <v>12</v>
      </c>
      <c r="H84" s="3">
        <v>4</v>
      </c>
      <c r="I84" t="str">
        <f t="shared" si="6"/>
        <v>Wristband</v>
      </c>
      <c r="J84" t="str">
        <f t="shared" si="7"/>
        <v>Madrid</v>
      </c>
      <c r="L84" s="7">
        <f t="shared" si="8"/>
        <v>48</v>
      </c>
      <c r="M84" s="7">
        <f t="shared" si="9"/>
        <v>16</v>
      </c>
      <c r="N84" s="7">
        <f t="shared" si="10"/>
        <v>32</v>
      </c>
      <c r="O84" s="8">
        <f t="shared" si="11"/>
        <v>0.66666666666666663</v>
      </c>
    </row>
    <row r="85" spans="1:15" x14ac:dyDescent="0.2">
      <c r="A85">
        <v>10084</v>
      </c>
      <c r="B85" s="2">
        <v>46112</v>
      </c>
      <c r="C85" t="s">
        <v>23</v>
      </c>
      <c r="D85" t="s">
        <v>20</v>
      </c>
      <c r="E85" t="s">
        <v>21</v>
      </c>
      <c r="F85">
        <v>1</v>
      </c>
      <c r="G85" s="3">
        <v>90</v>
      </c>
      <c r="H85" s="3">
        <v>49</v>
      </c>
      <c r="I85" t="str">
        <f t="shared" si="6"/>
        <v>Padel Shoes</v>
      </c>
      <c r="J85" t="str">
        <f t="shared" si="7"/>
        <v>Seville</v>
      </c>
      <c r="L85" s="7">
        <f t="shared" si="8"/>
        <v>90</v>
      </c>
      <c r="M85" s="7">
        <f t="shared" si="9"/>
        <v>49</v>
      </c>
      <c r="N85" s="7">
        <f t="shared" si="10"/>
        <v>41</v>
      </c>
      <c r="O85" s="8">
        <f t="shared" si="11"/>
        <v>0.45555555555555555</v>
      </c>
    </row>
    <row r="86" spans="1:15" x14ac:dyDescent="0.2">
      <c r="A86">
        <v>10085</v>
      </c>
      <c r="B86" s="2">
        <v>46063</v>
      </c>
      <c r="C86" t="s">
        <v>25</v>
      </c>
      <c r="D86" t="s">
        <v>20</v>
      </c>
      <c r="E86" t="s">
        <v>21</v>
      </c>
      <c r="F86">
        <v>8</v>
      </c>
      <c r="G86" s="3">
        <v>35</v>
      </c>
      <c r="H86" s="3">
        <v>16</v>
      </c>
      <c r="I86" t="str">
        <f t="shared" si="6"/>
        <v>Padel Shirt</v>
      </c>
      <c r="J86" t="str">
        <f t="shared" si="7"/>
        <v>Seville</v>
      </c>
      <c r="L86" s="7">
        <f t="shared" si="8"/>
        <v>280</v>
      </c>
      <c r="M86" s="7">
        <f t="shared" si="9"/>
        <v>128</v>
      </c>
      <c r="N86" s="7">
        <f t="shared" si="10"/>
        <v>152</v>
      </c>
      <c r="O86" s="8">
        <f t="shared" si="11"/>
        <v>0.54285714285714282</v>
      </c>
    </row>
    <row r="87" spans="1:15" x14ac:dyDescent="0.2">
      <c r="A87">
        <v>10086</v>
      </c>
      <c r="B87" s="2">
        <v>46108</v>
      </c>
      <c r="C87" t="s">
        <v>11</v>
      </c>
      <c r="D87" t="s">
        <v>9</v>
      </c>
      <c r="E87" t="s">
        <v>12</v>
      </c>
      <c r="F87">
        <v>2</v>
      </c>
      <c r="G87" s="3">
        <v>12</v>
      </c>
      <c r="H87" s="3">
        <v>4</v>
      </c>
      <c r="I87" t="str">
        <f t="shared" si="6"/>
        <v>Wristband</v>
      </c>
      <c r="J87" t="str">
        <f t="shared" si="7"/>
        <v>Valencia</v>
      </c>
      <c r="L87" s="7">
        <f t="shared" si="8"/>
        <v>24</v>
      </c>
      <c r="M87" s="7">
        <f t="shared" si="9"/>
        <v>8</v>
      </c>
      <c r="N87" s="7">
        <f t="shared" si="10"/>
        <v>16</v>
      </c>
      <c r="O87" s="8">
        <f t="shared" si="11"/>
        <v>0.66666666666666663</v>
      </c>
    </row>
    <row r="88" spans="1:15" x14ac:dyDescent="0.2">
      <c r="A88">
        <v>10087</v>
      </c>
      <c r="B88" s="2">
        <v>46273</v>
      </c>
      <c r="C88" t="s">
        <v>25</v>
      </c>
      <c r="D88" t="s">
        <v>20</v>
      </c>
      <c r="E88" t="s">
        <v>15</v>
      </c>
      <c r="F88">
        <v>7</v>
      </c>
      <c r="G88" s="3">
        <v>35</v>
      </c>
      <c r="H88" s="3">
        <v>16</v>
      </c>
      <c r="I88" t="str">
        <f t="shared" si="6"/>
        <v>Padel Shirt</v>
      </c>
      <c r="J88" t="str">
        <f t="shared" si="7"/>
        <v>Barcelona</v>
      </c>
      <c r="L88" s="7">
        <f t="shared" si="8"/>
        <v>245</v>
      </c>
      <c r="M88" s="7">
        <f t="shared" si="9"/>
        <v>112</v>
      </c>
      <c r="N88" s="7">
        <f t="shared" si="10"/>
        <v>133</v>
      </c>
      <c r="O88" s="8">
        <f t="shared" si="11"/>
        <v>0.54285714285714282</v>
      </c>
    </row>
    <row r="89" spans="1:15" x14ac:dyDescent="0.2">
      <c r="A89">
        <v>10088</v>
      </c>
      <c r="B89" s="2">
        <v>46086</v>
      </c>
      <c r="C89" t="s">
        <v>8</v>
      </c>
      <c r="D89" t="s">
        <v>9</v>
      </c>
      <c r="E89" t="s">
        <v>12</v>
      </c>
      <c r="F89">
        <v>2</v>
      </c>
      <c r="G89" s="3">
        <v>6</v>
      </c>
      <c r="H89" s="3">
        <v>2</v>
      </c>
      <c r="I89" t="str">
        <f t="shared" si="6"/>
        <v>Grip Tape</v>
      </c>
      <c r="J89" t="str">
        <f t="shared" si="7"/>
        <v>Valencia</v>
      </c>
      <c r="L89" s="7">
        <f t="shared" si="8"/>
        <v>12</v>
      </c>
      <c r="M89" s="7">
        <f t="shared" si="9"/>
        <v>4</v>
      </c>
      <c r="N89" s="7">
        <f t="shared" si="10"/>
        <v>8</v>
      </c>
      <c r="O89" s="8">
        <f t="shared" si="11"/>
        <v>0.66666666666666663</v>
      </c>
    </row>
    <row r="90" spans="1:15" x14ac:dyDescent="0.2">
      <c r="A90">
        <v>10089</v>
      </c>
      <c r="B90" s="2">
        <v>46109</v>
      </c>
      <c r="C90" t="s">
        <v>25</v>
      </c>
      <c r="D90" t="s">
        <v>20</v>
      </c>
      <c r="E90" t="s">
        <v>21</v>
      </c>
      <c r="F90">
        <v>7</v>
      </c>
      <c r="G90" s="3">
        <v>35</v>
      </c>
      <c r="H90" s="3">
        <v>16</v>
      </c>
      <c r="I90" t="str">
        <f t="shared" si="6"/>
        <v>Padel Shirt</v>
      </c>
      <c r="J90" t="str">
        <f t="shared" si="7"/>
        <v>Seville</v>
      </c>
      <c r="L90" s="7">
        <f t="shared" si="8"/>
        <v>245</v>
      </c>
      <c r="M90" s="7">
        <f t="shared" si="9"/>
        <v>112</v>
      </c>
      <c r="N90" s="7">
        <f t="shared" si="10"/>
        <v>133</v>
      </c>
      <c r="O90" s="8">
        <f t="shared" si="11"/>
        <v>0.54285714285714282</v>
      </c>
    </row>
    <row r="91" spans="1:15" x14ac:dyDescent="0.2">
      <c r="A91">
        <v>10090</v>
      </c>
      <c r="B91" s="2">
        <v>46230</v>
      </c>
      <c r="C91" t="s">
        <v>19</v>
      </c>
      <c r="D91" t="s">
        <v>20</v>
      </c>
      <c r="E91" t="s">
        <v>12</v>
      </c>
      <c r="F91">
        <v>3</v>
      </c>
      <c r="G91" s="3">
        <v>90</v>
      </c>
      <c r="H91" s="3">
        <v>49</v>
      </c>
      <c r="I91" t="str">
        <f t="shared" si="6"/>
        <v>Padel Shoes</v>
      </c>
      <c r="J91" t="str">
        <f t="shared" si="7"/>
        <v>Valencia</v>
      </c>
      <c r="L91" s="7">
        <f t="shared" si="8"/>
        <v>270</v>
      </c>
      <c r="M91" s="7">
        <f t="shared" si="9"/>
        <v>147</v>
      </c>
      <c r="N91" s="7">
        <f t="shared" si="10"/>
        <v>123</v>
      </c>
      <c r="O91" s="8">
        <f t="shared" si="11"/>
        <v>0.45555555555555555</v>
      </c>
    </row>
    <row r="92" spans="1:15" x14ac:dyDescent="0.2">
      <c r="A92">
        <v>10091</v>
      </c>
      <c r="B92" s="2">
        <v>46225</v>
      </c>
      <c r="C92" t="s">
        <v>18</v>
      </c>
      <c r="D92" t="s">
        <v>9</v>
      </c>
      <c r="E92" t="s">
        <v>21</v>
      </c>
      <c r="F92">
        <v>4</v>
      </c>
      <c r="G92" s="3">
        <v>8</v>
      </c>
      <c r="H92" s="3">
        <v>3</v>
      </c>
      <c r="I92" t="str">
        <f t="shared" si="6"/>
        <v>Padel Balls</v>
      </c>
      <c r="J92" t="str">
        <f t="shared" si="7"/>
        <v>Seville</v>
      </c>
      <c r="L92" s="7">
        <f t="shared" si="8"/>
        <v>32</v>
      </c>
      <c r="M92" s="7">
        <f t="shared" si="9"/>
        <v>12</v>
      </c>
      <c r="N92" s="7">
        <f t="shared" si="10"/>
        <v>20</v>
      </c>
      <c r="O92" s="8">
        <f t="shared" si="11"/>
        <v>0.625</v>
      </c>
    </row>
    <row r="93" spans="1:15" x14ac:dyDescent="0.2">
      <c r="A93">
        <v>10092</v>
      </c>
      <c r="B93" s="2">
        <v>46262</v>
      </c>
      <c r="C93" t="s">
        <v>18</v>
      </c>
      <c r="D93" t="s">
        <v>9</v>
      </c>
      <c r="E93" t="s">
        <v>12</v>
      </c>
      <c r="F93">
        <v>7</v>
      </c>
      <c r="G93" s="3">
        <v>8</v>
      </c>
      <c r="H93" s="3">
        <v>3</v>
      </c>
      <c r="I93" t="str">
        <f t="shared" si="6"/>
        <v>Padel Balls</v>
      </c>
      <c r="J93" t="str">
        <f t="shared" si="7"/>
        <v>Valencia</v>
      </c>
      <c r="L93" s="7">
        <f t="shared" si="8"/>
        <v>56</v>
      </c>
      <c r="M93" s="7">
        <f t="shared" si="9"/>
        <v>21</v>
      </c>
      <c r="N93" s="7">
        <f t="shared" si="10"/>
        <v>35</v>
      </c>
      <c r="O93" s="8">
        <f t="shared" si="11"/>
        <v>0.625</v>
      </c>
    </row>
    <row r="94" spans="1:15" x14ac:dyDescent="0.2">
      <c r="A94">
        <v>10093</v>
      </c>
      <c r="B94" s="2">
        <v>46265</v>
      </c>
      <c r="C94" t="s">
        <v>25</v>
      </c>
      <c r="D94" t="s">
        <v>20</v>
      </c>
      <c r="E94" t="s">
        <v>15</v>
      </c>
      <c r="F94">
        <v>7</v>
      </c>
      <c r="G94" s="3">
        <v>35</v>
      </c>
      <c r="H94" s="3">
        <v>16</v>
      </c>
      <c r="I94" t="str">
        <f t="shared" si="6"/>
        <v>Padel Shirt</v>
      </c>
      <c r="J94" t="str">
        <f t="shared" si="7"/>
        <v>Barcelona</v>
      </c>
      <c r="L94" s="7">
        <f t="shared" si="8"/>
        <v>245</v>
      </c>
      <c r="M94" s="7">
        <f t="shared" si="9"/>
        <v>112</v>
      </c>
      <c r="N94" s="7">
        <f t="shared" si="10"/>
        <v>133</v>
      </c>
      <c r="O94" s="8">
        <f t="shared" si="11"/>
        <v>0.54285714285714282</v>
      </c>
    </row>
    <row r="95" spans="1:15" x14ac:dyDescent="0.2">
      <c r="A95">
        <v>10094</v>
      </c>
      <c r="B95" s="2">
        <v>46075</v>
      </c>
      <c r="C95" t="s">
        <v>18</v>
      </c>
      <c r="D95" t="s">
        <v>9</v>
      </c>
      <c r="E95" t="s">
        <v>12</v>
      </c>
      <c r="F95">
        <v>2</v>
      </c>
      <c r="G95" s="3">
        <v>8</v>
      </c>
      <c r="H95" s="3">
        <v>3</v>
      </c>
      <c r="I95" t="str">
        <f t="shared" si="6"/>
        <v>Padel Balls</v>
      </c>
      <c r="J95" t="str">
        <f t="shared" si="7"/>
        <v>Valencia</v>
      </c>
      <c r="L95" s="7">
        <f t="shared" si="8"/>
        <v>16</v>
      </c>
      <c r="M95" s="7">
        <f t="shared" si="9"/>
        <v>6</v>
      </c>
      <c r="N95" s="7">
        <f t="shared" si="10"/>
        <v>10</v>
      </c>
      <c r="O95" s="8">
        <f t="shared" si="11"/>
        <v>0.625</v>
      </c>
    </row>
    <row r="96" spans="1:15" x14ac:dyDescent="0.2">
      <c r="A96">
        <v>10095</v>
      </c>
      <c r="B96" s="2">
        <v>46192</v>
      </c>
      <c r="C96" t="s">
        <v>16</v>
      </c>
      <c r="D96" t="s">
        <v>14</v>
      </c>
      <c r="E96" t="s">
        <v>21</v>
      </c>
      <c r="F96">
        <v>8</v>
      </c>
      <c r="G96" s="3">
        <v>120</v>
      </c>
      <c r="H96" s="3">
        <v>72</v>
      </c>
      <c r="I96" t="str">
        <f t="shared" si="6"/>
        <v>Padel Racket</v>
      </c>
      <c r="J96" t="str">
        <f t="shared" si="7"/>
        <v>Seville</v>
      </c>
      <c r="L96" s="7">
        <f t="shared" si="8"/>
        <v>960</v>
      </c>
      <c r="M96" s="7">
        <f t="shared" si="9"/>
        <v>576</v>
      </c>
      <c r="N96" s="7">
        <f t="shared" si="10"/>
        <v>384</v>
      </c>
      <c r="O96" s="8">
        <f t="shared" si="11"/>
        <v>0.4</v>
      </c>
    </row>
    <row r="97" spans="1:15" x14ac:dyDescent="0.2">
      <c r="A97">
        <v>10096</v>
      </c>
      <c r="B97" s="2">
        <v>46233</v>
      </c>
      <c r="C97" t="s">
        <v>23</v>
      </c>
      <c r="D97" t="s">
        <v>20</v>
      </c>
      <c r="E97" t="s">
        <v>10</v>
      </c>
      <c r="F97">
        <v>4</v>
      </c>
      <c r="G97" s="3">
        <v>90</v>
      </c>
      <c r="H97" s="3">
        <v>49</v>
      </c>
      <c r="I97" t="str">
        <f t="shared" si="6"/>
        <v>Padel Shoes</v>
      </c>
      <c r="J97" t="str">
        <f t="shared" si="7"/>
        <v>Madrid</v>
      </c>
      <c r="L97" s="7">
        <f t="shared" si="8"/>
        <v>360</v>
      </c>
      <c r="M97" s="7">
        <f t="shared" si="9"/>
        <v>196</v>
      </c>
      <c r="N97" s="7">
        <f t="shared" si="10"/>
        <v>164</v>
      </c>
      <c r="O97" s="8">
        <f t="shared" si="11"/>
        <v>0.45555555555555555</v>
      </c>
    </row>
    <row r="98" spans="1:15" x14ac:dyDescent="0.2">
      <c r="A98">
        <v>10097</v>
      </c>
      <c r="B98" s="2">
        <v>46229</v>
      </c>
      <c r="C98" t="s">
        <v>18</v>
      </c>
      <c r="D98" t="s">
        <v>9</v>
      </c>
      <c r="E98" t="s">
        <v>12</v>
      </c>
      <c r="F98">
        <v>6</v>
      </c>
      <c r="G98" s="3">
        <v>8</v>
      </c>
      <c r="H98" s="3">
        <v>3</v>
      </c>
      <c r="I98" t="str">
        <f t="shared" si="6"/>
        <v>Padel Balls</v>
      </c>
      <c r="J98" t="str">
        <f t="shared" si="7"/>
        <v>Valencia</v>
      </c>
      <c r="L98" s="7">
        <f t="shared" si="8"/>
        <v>48</v>
      </c>
      <c r="M98" s="7">
        <f t="shared" si="9"/>
        <v>18</v>
      </c>
      <c r="N98" s="7">
        <f t="shared" si="10"/>
        <v>30</v>
      </c>
      <c r="O98" s="8">
        <f t="shared" si="11"/>
        <v>0.625</v>
      </c>
    </row>
    <row r="99" spans="1:15" x14ac:dyDescent="0.2">
      <c r="A99">
        <v>10098</v>
      </c>
      <c r="B99" s="2">
        <v>46070</v>
      </c>
      <c r="C99" t="s">
        <v>23</v>
      </c>
      <c r="D99" t="s">
        <v>20</v>
      </c>
      <c r="E99" t="s">
        <v>21</v>
      </c>
      <c r="F99">
        <v>5</v>
      </c>
      <c r="G99" s="3">
        <v>90</v>
      </c>
      <c r="H99" s="3">
        <v>49</v>
      </c>
      <c r="I99" t="str">
        <f t="shared" si="6"/>
        <v>Padel Shoes</v>
      </c>
      <c r="J99" t="str">
        <f t="shared" si="7"/>
        <v>Seville</v>
      </c>
      <c r="L99" s="7">
        <f t="shared" si="8"/>
        <v>450</v>
      </c>
      <c r="M99" s="7">
        <f t="shared" si="9"/>
        <v>245</v>
      </c>
      <c r="N99" s="7">
        <f t="shared" si="10"/>
        <v>205</v>
      </c>
      <c r="O99" s="8">
        <f t="shared" si="11"/>
        <v>0.45555555555555555</v>
      </c>
    </row>
    <row r="100" spans="1:15" x14ac:dyDescent="0.2">
      <c r="A100">
        <v>10099</v>
      </c>
      <c r="B100" s="2">
        <v>46218</v>
      </c>
      <c r="C100" t="s">
        <v>11</v>
      </c>
      <c r="D100" t="s">
        <v>9</v>
      </c>
      <c r="E100" t="s">
        <v>21</v>
      </c>
      <c r="F100">
        <v>8</v>
      </c>
      <c r="G100" s="3">
        <v>12</v>
      </c>
      <c r="H100" s="3">
        <v>4</v>
      </c>
      <c r="I100" t="str">
        <f t="shared" si="6"/>
        <v>Wristband</v>
      </c>
      <c r="J100" t="str">
        <f t="shared" si="7"/>
        <v>Seville</v>
      </c>
      <c r="L100" s="7">
        <f t="shared" si="8"/>
        <v>96</v>
      </c>
      <c r="M100" s="7">
        <f t="shared" si="9"/>
        <v>32</v>
      </c>
      <c r="N100" s="7">
        <f t="shared" si="10"/>
        <v>64</v>
      </c>
      <c r="O100" s="8">
        <f t="shared" si="11"/>
        <v>0.66666666666666663</v>
      </c>
    </row>
    <row r="101" spans="1:15" x14ac:dyDescent="0.2">
      <c r="A101">
        <v>10100</v>
      </c>
      <c r="B101" s="2">
        <v>46275</v>
      </c>
      <c r="C101" t="s">
        <v>16</v>
      </c>
      <c r="D101" t="s">
        <v>14</v>
      </c>
      <c r="E101" t="s">
        <v>12</v>
      </c>
      <c r="F101">
        <v>1</v>
      </c>
      <c r="G101" s="3">
        <v>120</v>
      </c>
      <c r="H101" s="3">
        <v>72</v>
      </c>
      <c r="I101" t="str">
        <f t="shared" si="6"/>
        <v>Padel Racket</v>
      </c>
      <c r="J101" t="str">
        <f t="shared" si="7"/>
        <v>Valencia</v>
      </c>
      <c r="L101" s="7">
        <f t="shared" si="8"/>
        <v>120</v>
      </c>
      <c r="M101" s="7">
        <f t="shared" si="9"/>
        <v>72</v>
      </c>
      <c r="N101" s="7">
        <f t="shared" si="10"/>
        <v>48</v>
      </c>
      <c r="O101" s="8">
        <f t="shared" si="11"/>
        <v>0.4</v>
      </c>
    </row>
    <row r="102" spans="1:15" x14ac:dyDescent="0.2">
      <c r="A102">
        <v>10101</v>
      </c>
      <c r="B102" s="2">
        <v>46034</v>
      </c>
      <c r="C102" t="s">
        <v>16</v>
      </c>
      <c r="D102" t="s">
        <v>14</v>
      </c>
      <c r="E102" t="s">
        <v>21</v>
      </c>
      <c r="F102">
        <v>6</v>
      </c>
      <c r="G102" s="3">
        <v>120</v>
      </c>
      <c r="H102" s="3">
        <v>72</v>
      </c>
      <c r="I102" t="str">
        <f t="shared" si="6"/>
        <v>Padel Racket</v>
      </c>
      <c r="J102" t="str">
        <f t="shared" si="7"/>
        <v>Seville</v>
      </c>
      <c r="L102" s="7">
        <f t="shared" si="8"/>
        <v>720</v>
      </c>
      <c r="M102" s="7">
        <f t="shared" si="9"/>
        <v>432</v>
      </c>
      <c r="N102" s="7">
        <f t="shared" si="10"/>
        <v>288</v>
      </c>
      <c r="O102" s="8">
        <f t="shared" si="11"/>
        <v>0.4</v>
      </c>
    </row>
    <row r="103" spans="1:15" x14ac:dyDescent="0.2">
      <c r="A103">
        <v>10102</v>
      </c>
      <c r="B103" s="2">
        <v>46158</v>
      </c>
      <c r="C103" t="s">
        <v>16</v>
      </c>
      <c r="D103" t="s">
        <v>14</v>
      </c>
      <c r="E103" t="s">
        <v>10</v>
      </c>
      <c r="F103">
        <v>2</v>
      </c>
      <c r="G103" s="3">
        <v>120</v>
      </c>
      <c r="H103" s="3">
        <v>72</v>
      </c>
      <c r="I103" t="str">
        <f t="shared" si="6"/>
        <v>Padel Racket</v>
      </c>
      <c r="J103" t="str">
        <f t="shared" si="7"/>
        <v>Madrid</v>
      </c>
      <c r="L103" s="7">
        <f t="shared" si="8"/>
        <v>240</v>
      </c>
      <c r="M103" s="7">
        <f t="shared" si="9"/>
        <v>144</v>
      </c>
      <c r="N103" s="7">
        <f t="shared" si="10"/>
        <v>96</v>
      </c>
      <c r="O103" s="8">
        <f t="shared" si="11"/>
        <v>0.4</v>
      </c>
    </row>
    <row r="104" spans="1:15" x14ac:dyDescent="0.2">
      <c r="A104">
        <v>10103</v>
      </c>
      <c r="B104" s="2">
        <v>46179</v>
      </c>
      <c r="C104" t="s">
        <v>18</v>
      </c>
      <c r="D104" t="s">
        <v>9</v>
      </c>
      <c r="E104" t="s">
        <v>15</v>
      </c>
      <c r="F104">
        <v>1</v>
      </c>
      <c r="G104" s="3">
        <v>8</v>
      </c>
      <c r="H104" s="3">
        <v>3</v>
      </c>
      <c r="I104" t="str">
        <f t="shared" si="6"/>
        <v>Padel Balls</v>
      </c>
      <c r="J104" t="str">
        <f t="shared" si="7"/>
        <v>Barcelona</v>
      </c>
      <c r="L104" s="7">
        <f t="shared" si="8"/>
        <v>8</v>
      </c>
      <c r="M104" s="7">
        <f t="shared" si="9"/>
        <v>3</v>
      </c>
      <c r="N104" s="7">
        <f t="shared" si="10"/>
        <v>5</v>
      </c>
      <c r="O104" s="8">
        <f t="shared" si="11"/>
        <v>0.625</v>
      </c>
    </row>
    <row r="105" spans="1:15" x14ac:dyDescent="0.2">
      <c r="A105">
        <v>10104</v>
      </c>
      <c r="B105" s="2">
        <v>46256</v>
      </c>
      <c r="C105" t="s">
        <v>8</v>
      </c>
      <c r="D105" t="s">
        <v>9</v>
      </c>
      <c r="E105" t="s">
        <v>21</v>
      </c>
      <c r="F105">
        <v>8</v>
      </c>
      <c r="G105" s="3">
        <v>6</v>
      </c>
      <c r="H105" s="3">
        <v>2</v>
      </c>
      <c r="I105" t="str">
        <f t="shared" si="6"/>
        <v>Grip Tape</v>
      </c>
      <c r="J105" t="str">
        <f t="shared" si="7"/>
        <v>Seville</v>
      </c>
      <c r="L105" s="7">
        <f t="shared" si="8"/>
        <v>48</v>
      </c>
      <c r="M105" s="7">
        <f t="shared" si="9"/>
        <v>16</v>
      </c>
      <c r="N105" s="7">
        <f t="shared" si="10"/>
        <v>32</v>
      </c>
      <c r="O105" s="8">
        <f t="shared" si="11"/>
        <v>0.66666666666666663</v>
      </c>
    </row>
    <row r="106" spans="1:15" x14ac:dyDescent="0.2">
      <c r="A106">
        <v>10105</v>
      </c>
      <c r="B106" s="2">
        <v>46068</v>
      </c>
      <c r="C106" t="s">
        <v>17</v>
      </c>
      <c r="D106" t="s">
        <v>9</v>
      </c>
      <c r="E106" t="s">
        <v>12</v>
      </c>
      <c r="F106">
        <v>4</v>
      </c>
      <c r="G106" s="3">
        <v>45</v>
      </c>
      <c r="H106" s="3">
        <v>21</v>
      </c>
      <c r="I106" t="str">
        <f t="shared" si="6"/>
        <v>Padel Bag</v>
      </c>
      <c r="J106" t="str">
        <f t="shared" si="7"/>
        <v>Valencia</v>
      </c>
      <c r="L106" s="7">
        <f t="shared" si="8"/>
        <v>180</v>
      </c>
      <c r="M106" s="7">
        <f t="shared" si="9"/>
        <v>84</v>
      </c>
      <c r="N106" s="7">
        <f t="shared" si="10"/>
        <v>96</v>
      </c>
      <c r="O106" s="8">
        <f t="shared" si="11"/>
        <v>0.53333333333333333</v>
      </c>
    </row>
    <row r="107" spans="1:15" x14ac:dyDescent="0.2">
      <c r="A107">
        <v>10106</v>
      </c>
      <c r="B107" s="2">
        <v>46063</v>
      </c>
      <c r="C107" t="s">
        <v>18</v>
      </c>
      <c r="D107" t="s">
        <v>9</v>
      </c>
      <c r="E107" t="s">
        <v>15</v>
      </c>
      <c r="F107">
        <v>7</v>
      </c>
      <c r="G107" s="3">
        <v>8</v>
      </c>
      <c r="H107" s="3">
        <v>3</v>
      </c>
      <c r="I107" t="str">
        <f t="shared" si="6"/>
        <v>Padel Balls</v>
      </c>
      <c r="J107" t="str">
        <f t="shared" si="7"/>
        <v>Barcelona</v>
      </c>
      <c r="L107" s="7">
        <f t="shared" si="8"/>
        <v>56</v>
      </c>
      <c r="M107" s="7">
        <f t="shared" si="9"/>
        <v>21</v>
      </c>
      <c r="N107" s="7">
        <f t="shared" si="10"/>
        <v>35</v>
      </c>
      <c r="O107" s="8">
        <f t="shared" si="11"/>
        <v>0.625</v>
      </c>
    </row>
    <row r="108" spans="1:15" x14ac:dyDescent="0.2">
      <c r="A108">
        <v>10107</v>
      </c>
      <c r="B108" s="2">
        <v>46084</v>
      </c>
      <c r="C108" t="s">
        <v>8</v>
      </c>
      <c r="D108" t="s">
        <v>9</v>
      </c>
      <c r="E108" t="s">
        <v>12</v>
      </c>
      <c r="F108">
        <v>4</v>
      </c>
      <c r="G108" s="3">
        <v>6</v>
      </c>
      <c r="H108" s="3">
        <v>2</v>
      </c>
      <c r="I108" t="str">
        <f t="shared" si="6"/>
        <v>Grip Tape</v>
      </c>
      <c r="J108" t="str">
        <f t="shared" si="7"/>
        <v>Valencia</v>
      </c>
      <c r="L108" s="7">
        <f t="shared" si="8"/>
        <v>24</v>
      </c>
      <c r="M108" s="7">
        <f t="shared" si="9"/>
        <v>8</v>
      </c>
      <c r="N108" s="7">
        <f t="shared" si="10"/>
        <v>16</v>
      </c>
      <c r="O108" s="8">
        <f t="shared" si="11"/>
        <v>0.66666666666666663</v>
      </c>
    </row>
    <row r="109" spans="1:15" x14ac:dyDescent="0.2">
      <c r="A109">
        <v>10108</v>
      </c>
      <c r="B109" s="2">
        <v>46100</v>
      </c>
      <c r="C109" t="s">
        <v>11</v>
      </c>
      <c r="D109" t="s">
        <v>9</v>
      </c>
      <c r="E109" t="s">
        <v>12</v>
      </c>
      <c r="F109">
        <v>1</v>
      </c>
      <c r="G109" s="3">
        <v>12</v>
      </c>
      <c r="H109" s="3">
        <v>4</v>
      </c>
      <c r="I109" t="str">
        <f t="shared" si="6"/>
        <v>Wristband</v>
      </c>
      <c r="J109" t="str">
        <f t="shared" si="7"/>
        <v>Valencia</v>
      </c>
      <c r="L109" s="7">
        <f t="shared" si="8"/>
        <v>12</v>
      </c>
      <c r="M109" s="7">
        <f t="shared" si="9"/>
        <v>4</v>
      </c>
      <c r="N109" s="7">
        <f t="shared" si="10"/>
        <v>8</v>
      </c>
      <c r="O109" s="8">
        <f t="shared" si="11"/>
        <v>0.66666666666666663</v>
      </c>
    </row>
    <row r="110" spans="1:15" x14ac:dyDescent="0.2">
      <c r="A110">
        <v>10109</v>
      </c>
      <c r="B110" s="2">
        <v>46077</v>
      </c>
      <c r="C110" t="s">
        <v>17</v>
      </c>
      <c r="D110" t="s">
        <v>9</v>
      </c>
      <c r="E110" t="s">
        <v>21</v>
      </c>
      <c r="F110">
        <v>4</v>
      </c>
      <c r="G110" s="3">
        <v>45</v>
      </c>
      <c r="H110" s="3">
        <v>21</v>
      </c>
      <c r="I110" t="str">
        <f t="shared" si="6"/>
        <v>Padel Bag</v>
      </c>
      <c r="J110" t="str">
        <f t="shared" si="7"/>
        <v>Seville</v>
      </c>
      <c r="L110" s="7">
        <f t="shared" si="8"/>
        <v>180</v>
      </c>
      <c r="M110" s="7">
        <f t="shared" si="9"/>
        <v>84</v>
      </c>
      <c r="N110" s="7">
        <f t="shared" si="10"/>
        <v>96</v>
      </c>
      <c r="O110" s="8">
        <f t="shared" si="11"/>
        <v>0.53333333333333333</v>
      </c>
    </row>
    <row r="111" spans="1:15" x14ac:dyDescent="0.2">
      <c r="A111">
        <v>10110</v>
      </c>
      <c r="B111" s="2">
        <v>46173</v>
      </c>
      <c r="C111" t="s">
        <v>16</v>
      </c>
      <c r="D111" t="s">
        <v>14</v>
      </c>
      <c r="E111" t="s">
        <v>21</v>
      </c>
      <c r="F111">
        <v>3</v>
      </c>
      <c r="G111" s="3">
        <v>120</v>
      </c>
      <c r="H111" s="3">
        <v>72</v>
      </c>
      <c r="I111" t="str">
        <f t="shared" si="6"/>
        <v>Padel Racket</v>
      </c>
      <c r="J111" t="str">
        <f t="shared" si="7"/>
        <v>Seville</v>
      </c>
      <c r="L111" s="7">
        <f t="shared" si="8"/>
        <v>360</v>
      </c>
      <c r="M111" s="7">
        <f t="shared" si="9"/>
        <v>216</v>
      </c>
      <c r="N111" s="7">
        <f t="shared" si="10"/>
        <v>144</v>
      </c>
      <c r="O111" s="8">
        <f t="shared" si="11"/>
        <v>0.4</v>
      </c>
    </row>
    <row r="112" spans="1:15" x14ac:dyDescent="0.2">
      <c r="A112">
        <v>10111</v>
      </c>
      <c r="B112" s="2">
        <v>46233</v>
      </c>
      <c r="C112" t="s">
        <v>23</v>
      </c>
      <c r="D112" t="s">
        <v>20</v>
      </c>
      <c r="E112" t="s">
        <v>21</v>
      </c>
      <c r="F112">
        <v>8</v>
      </c>
      <c r="G112" s="3">
        <v>90</v>
      </c>
      <c r="H112" s="3">
        <v>49</v>
      </c>
      <c r="I112" t="str">
        <f t="shared" si="6"/>
        <v>Padel Shoes</v>
      </c>
      <c r="J112" t="str">
        <f t="shared" si="7"/>
        <v>Seville</v>
      </c>
      <c r="L112" s="7">
        <f t="shared" si="8"/>
        <v>720</v>
      </c>
      <c r="M112" s="7">
        <f t="shared" si="9"/>
        <v>392</v>
      </c>
      <c r="N112" s="7">
        <f t="shared" si="10"/>
        <v>328</v>
      </c>
      <c r="O112" s="8">
        <f t="shared" si="11"/>
        <v>0.45555555555555555</v>
      </c>
    </row>
    <row r="113" spans="1:15" x14ac:dyDescent="0.2">
      <c r="A113">
        <v>10112</v>
      </c>
      <c r="B113" s="2">
        <v>46105</v>
      </c>
      <c r="C113" t="s">
        <v>11</v>
      </c>
      <c r="D113" t="s">
        <v>9</v>
      </c>
      <c r="E113" t="s">
        <v>10</v>
      </c>
      <c r="F113">
        <v>2</v>
      </c>
      <c r="G113" s="3">
        <v>12</v>
      </c>
      <c r="H113" s="3">
        <v>4</v>
      </c>
      <c r="I113" t="str">
        <f t="shared" si="6"/>
        <v>Wristband</v>
      </c>
      <c r="J113" t="str">
        <f t="shared" si="7"/>
        <v>Madrid</v>
      </c>
      <c r="L113" s="7">
        <f t="shared" si="8"/>
        <v>24</v>
      </c>
      <c r="M113" s="7">
        <f t="shared" si="9"/>
        <v>8</v>
      </c>
      <c r="N113" s="7">
        <f t="shared" si="10"/>
        <v>16</v>
      </c>
      <c r="O113" s="8">
        <f t="shared" si="11"/>
        <v>0.66666666666666663</v>
      </c>
    </row>
    <row r="114" spans="1:15" x14ac:dyDescent="0.2">
      <c r="A114">
        <v>10113</v>
      </c>
      <c r="B114" s="2">
        <v>46143</v>
      </c>
      <c r="C114" t="s">
        <v>25</v>
      </c>
      <c r="D114" t="s">
        <v>20</v>
      </c>
      <c r="E114" t="s">
        <v>10</v>
      </c>
      <c r="F114">
        <v>7</v>
      </c>
      <c r="G114" s="3">
        <v>35</v>
      </c>
      <c r="H114" s="3">
        <v>16</v>
      </c>
      <c r="I114" t="str">
        <f t="shared" si="6"/>
        <v>Padel Shirt</v>
      </c>
      <c r="J114" t="str">
        <f t="shared" si="7"/>
        <v>Madrid</v>
      </c>
      <c r="L114" s="7">
        <f t="shared" si="8"/>
        <v>245</v>
      </c>
      <c r="M114" s="7">
        <f t="shared" si="9"/>
        <v>112</v>
      </c>
      <c r="N114" s="7">
        <f t="shared" si="10"/>
        <v>133</v>
      </c>
      <c r="O114" s="8">
        <f t="shared" si="11"/>
        <v>0.54285714285714282</v>
      </c>
    </row>
    <row r="115" spans="1:15" x14ac:dyDescent="0.2">
      <c r="A115">
        <v>10114</v>
      </c>
      <c r="B115" s="2">
        <v>46230</v>
      </c>
      <c r="C115" t="s">
        <v>23</v>
      </c>
      <c r="D115" t="s">
        <v>20</v>
      </c>
      <c r="E115" t="s">
        <v>15</v>
      </c>
      <c r="F115">
        <v>8</v>
      </c>
      <c r="G115" s="3">
        <v>90</v>
      </c>
      <c r="H115" s="3">
        <v>49</v>
      </c>
      <c r="I115" t="str">
        <f t="shared" si="6"/>
        <v>Padel Shoes</v>
      </c>
      <c r="J115" t="str">
        <f t="shared" si="7"/>
        <v>Barcelona</v>
      </c>
      <c r="L115" s="7">
        <f t="shared" si="8"/>
        <v>720</v>
      </c>
      <c r="M115" s="7">
        <f t="shared" si="9"/>
        <v>392</v>
      </c>
      <c r="N115" s="7">
        <f t="shared" si="10"/>
        <v>328</v>
      </c>
      <c r="O115" s="8">
        <f t="shared" si="11"/>
        <v>0.45555555555555555</v>
      </c>
    </row>
    <row r="116" spans="1:15" x14ac:dyDescent="0.2">
      <c r="A116">
        <v>10115</v>
      </c>
      <c r="B116" s="2">
        <v>46139</v>
      </c>
      <c r="C116" t="s">
        <v>25</v>
      </c>
      <c r="D116" t="s">
        <v>20</v>
      </c>
      <c r="E116" t="s">
        <v>21</v>
      </c>
      <c r="F116">
        <v>7</v>
      </c>
      <c r="G116" s="3">
        <v>35</v>
      </c>
      <c r="H116" s="3">
        <v>16</v>
      </c>
      <c r="I116" t="str">
        <f t="shared" si="6"/>
        <v>Padel Shirt</v>
      </c>
      <c r="J116" t="str">
        <f t="shared" si="7"/>
        <v>Seville</v>
      </c>
      <c r="L116" s="7">
        <f t="shared" si="8"/>
        <v>245</v>
      </c>
      <c r="M116" s="7">
        <f t="shared" si="9"/>
        <v>112</v>
      </c>
      <c r="N116" s="7">
        <f t="shared" si="10"/>
        <v>133</v>
      </c>
      <c r="O116" s="8">
        <f t="shared" si="11"/>
        <v>0.54285714285714282</v>
      </c>
    </row>
    <row r="117" spans="1:15" x14ac:dyDescent="0.2">
      <c r="A117">
        <v>10116</v>
      </c>
      <c r="B117" s="2">
        <v>46210</v>
      </c>
      <c r="C117" t="s">
        <v>25</v>
      </c>
      <c r="D117" t="s">
        <v>20</v>
      </c>
      <c r="E117" t="s">
        <v>12</v>
      </c>
      <c r="F117">
        <v>1</v>
      </c>
      <c r="G117" s="3">
        <v>35</v>
      </c>
      <c r="H117" s="3">
        <v>16</v>
      </c>
      <c r="I117" t="str">
        <f t="shared" si="6"/>
        <v>Padel Shirt</v>
      </c>
      <c r="J117" t="str">
        <f t="shared" si="7"/>
        <v>Valencia</v>
      </c>
      <c r="L117" s="7">
        <f t="shared" si="8"/>
        <v>35</v>
      </c>
      <c r="M117" s="7">
        <f t="shared" si="9"/>
        <v>16</v>
      </c>
      <c r="N117" s="7">
        <f t="shared" si="10"/>
        <v>19</v>
      </c>
      <c r="O117" s="8">
        <f t="shared" si="11"/>
        <v>0.54285714285714282</v>
      </c>
    </row>
    <row r="118" spans="1:15" x14ac:dyDescent="0.2">
      <c r="A118">
        <v>10117</v>
      </c>
      <c r="B118" s="2">
        <v>46168</v>
      </c>
      <c r="C118" t="s">
        <v>16</v>
      </c>
      <c r="D118" t="s">
        <v>14</v>
      </c>
      <c r="E118" t="s">
        <v>28</v>
      </c>
      <c r="F118">
        <v>5</v>
      </c>
      <c r="G118" s="3">
        <v>120</v>
      </c>
      <c r="H118" s="3">
        <v>72</v>
      </c>
      <c r="I118" t="str">
        <f t="shared" si="6"/>
        <v>Padel Racket</v>
      </c>
      <c r="J118" t="str">
        <f t="shared" si="7"/>
        <v>Valencia</v>
      </c>
      <c r="L118" s="7">
        <f t="shared" si="8"/>
        <v>600</v>
      </c>
      <c r="M118" s="7">
        <f t="shared" si="9"/>
        <v>360</v>
      </c>
      <c r="N118" s="7">
        <f t="shared" si="10"/>
        <v>240</v>
      </c>
      <c r="O118" s="8">
        <f t="shared" si="11"/>
        <v>0.4</v>
      </c>
    </row>
    <row r="119" spans="1:15" x14ac:dyDescent="0.2">
      <c r="A119">
        <v>10118</v>
      </c>
      <c r="B119" s="2">
        <v>46138</v>
      </c>
      <c r="C119" t="s">
        <v>17</v>
      </c>
      <c r="D119" t="s">
        <v>9</v>
      </c>
      <c r="E119" t="s">
        <v>15</v>
      </c>
      <c r="F119">
        <v>2</v>
      </c>
      <c r="G119" s="3">
        <v>45</v>
      </c>
      <c r="H119" s="3">
        <v>21</v>
      </c>
      <c r="I119" t="str">
        <f t="shared" si="6"/>
        <v>Padel Bag</v>
      </c>
      <c r="J119" t="str">
        <f t="shared" si="7"/>
        <v>Barcelona</v>
      </c>
      <c r="L119" s="7">
        <f t="shared" si="8"/>
        <v>90</v>
      </c>
      <c r="M119" s="7">
        <f t="shared" si="9"/>
        <v>42</v>
      </c>
      <c r="N119" s="7">
        <f t="shared" si="10"/>
        <v>48</v>
      </c>
      <c r="O119" s="8">
        <f t="shared" si="11"/>
        <v>0.53333333333333333</v>
      </c>
    </row>
    <row r="120" spans="1:15" x14ac:dyDescent="0.2">
      <c r="A120">
        <v>10119</v>
      </c>
      <c r="B120" s="2">
        <v>46034</v>
      </c>
      <c r="C120" t="s">
        <v>18</v>
      </c>
      <c r="D120" t="s">
        <v>9</v>
      </c>
      <c r="E120" t="s">
        <v>21</v>
      </c>
      <c r="F120">
        <v>7</v>
      </c>
      <c r="G120" s="3">
        <v>8</v>
      </c>
      <c r="H120" s="3">
        <v>3</v>
      </c>
      <c r="I120" t="str">
        <f t="shared" si="6"/>
        <v>Padel Balls</v>
      </c>
      <c r="J120" t="str">
        <f t="shared" si="7"/>
        <v>Seville</v>
      </c>
      <c r="L120" s="7">
        <f t="shared" si="8"/>
        <v>56</v>
      </c>
      <c r="M120" s="7">
        <f t="shared" si="9"/>
        <v>21</v>
      </c>
      <c r="N120" s="7">
        <f t="shared" si="10"/>
        <v>35</v>
      </c>
      <c r="O120" s="8">
        <f t="shared" si="11"/>
        <v>0.625</v>
      </c>
    </row>
    <row r="121" spans="1:15" x14ac:dyDescent="0.2">
      <c r="A121">
        <v>10120</v>
      </c>
      <c r="B121" s="2">
        <v>46170</v>
      </c>
      <c r="C121" t="s">
        <v>13</v>
      </c>
      <c r="D121" t="s">
        <v>14</v>
      </c>
      <c r="E121" t="s">
        <v>10</v>
      </c>
      <c r="F121">
        <v>7</v>
      </c>
      <c r="G121" s="3">
        <v>190</v>
      </c>
      <c r="H121" s="3">
        <v>112</v>
      </c>
      <c r="I121" t="str">
        <f t="shared" si="6"/>
        <v>Premium Racket</v>
      </c>
      <c r="J121" t="str">
        <f t="shared" si="7"/>
        <v>Madrid</v>
      </c>
      <c r="L121" s="7">
        <f t="shared" si="8"/>
        <v>1330</v>
      </c>
      <c r="M121" s="7">
        <f t="shared" si="9"/>
        <v>784</v>
      </c>
      <c r="N121" s="7">
        <f t="shared" si="10"/>
        <v>546</v>
      </c>
      <c r="O121" s="8">
        <f t="shared" si="11"/>
        <v>0.41052631578947368</v>
      </c>
    </row>
    <row r="122" spans="1:15" x14ac:dyDescent="0.2">
      <c r="A122">
        <v>10121</v>
      </c>
      <c r="B122" s="2">
        <v>46287</v>
      </c>
      <c r="C122" t="s">
        <v>25</v>
      </c>
      <c r="D122" t="s">
        <v>20</v>
      </c>
      <c r="E122" t="s">
        <v>12</v>
      </c>
      <c r="F122">
        <v>1</v>
      </c>
      <c r="G122" s="3">
        <v>35</v>
      </c>
      <c r="H122" s="3">
        <v>16</v>
      </c>
      <c r="I122" t="str">
        <f t="shared" si="6"/>
        <v>Padel Shirt</v>
      </c>
      <c r="J122" t="str">
        <f t="shared" si="7"/>
        <v>Valencia</v>
      </c>
      <c r="L122" s="7">
        <f t="shared" si="8"/>
        <v>35</v>
      </c>
      <c r="M122" s="7">
        <f t="shared" si="9"/>
        <v>16</v>
      </c>
      <c r="N122" s="7">
        <f t="shared" si="10"/>
        <v>19</v>
      </c>
      <c r="O122" s="8">
        <f t="shared" si="11"/>
        <v>0.54285714285714282</v>
      </c>
    </row>
    <row r="123" spans="1:15" x14ac:dyDescent="0.2">
      <c r="A123">
        <v>10122</v>
      </c>
      <c r="B123" s="2">
        <v>46029</v>
      </c>
      <c r="C123" t="s">
        <v>25</v>
      </c>
      <c r="D123" t="s">
        <v>20</v>
      </c>
      <c r="E123" t="s">
        <v>15</v>
      </c>
      <c r="F123">
        <v>2</v>
      </c>
      <c r="G123" s="3">
        <v>35</v>
      </c>
      <c r="H123" s="3">
        <v>16</v>
      </c>
      <c r="I123" t="str">
        <f t="shared" si="6"/>
        <v>Padel Shirt</v>
      </c>
      <c r="J123" t="str">
        <f t="shared" si="7"/>
        <v>Barcelona</v>
      </c>
      <c r="L123" s="7">
        <f t="shared" si="8"/>
        <v>70</v>
      </c>
      <c r="M123" s="7">
        <f t="shared" si="9"/>
        <v>32</v>
      </c>
      <c r="N123" s="7">
        <f t="shared" si="10"/>
        <v>38</v>
      </c>
      <c r="O123" s="8">
        <f t="shared" si="11"/>
        <v>0.54285714285714282</v>
      </c>
    </row>
    <row r="124" spans="1:15" x14ac:dyDescent="0.2">
      <c r="A124">
        <v>10123</v>
      </c>
      <c r="B124" s="2">
        <v>46113</v>
      </c>
      <c r="C124" t="s">
        <v>25</v>
      </c>
      <c r="D124" t="s">
        <v>20</v>
      </c>
      <c r="E124" t="s">
        <v>12</v>
      </c>
      <c r="F124">
        <v>3</v>
      </c>
      <c r="G124" s="3">
        <v>35</v>
      </c>
      <c r="H124" s="3">
        <v>16</v>
      </c>
      <c r="I124" t="str">
        <f t="shared" si="6"/>
        <v>Padel Shirt</v>
      </c>
      <c r="J124" t="str">
        <f t="shared" si="7"/>
        <v>Valencia</v>
      </c>
      <c r="L124" s="7">
        <f t="shared" si="8"/>
        <v>105</v>
      </c>
      <c r="M124" s="7">
        <f t="shared" si="9"/>
        <v>48</v>
      </c>
      <c r="N124" s="7">
        <f t="shared" si="10"/>
        <v>57</v>
      </c>
      <c r="O124" s="8">
        <f t="shared" si="11"/>
        <v>0.54285714285714282</v>
      </c>
    </row>
    <row r="125" spans="1:15" x14ac:dyDescent="0.2">
      <c r="A125">
        <v>10124</v>
      </c>
      <c r="B125" s="2">
        <v>46131</v>
      </c>
      <c r="C125" t="s">
        <v>17</v>
      </c>
      <c r="D125" t="s">
        <v>9</v>
      </c>
      <c r="E125" t="s">
        <v>12</v>
      </c>
      <c r="F125">
        <v>8</v>
      </c>
      <c r="G125" s="3">
        <v>45</v>
      </c>
      <c r="H125" s="3">
        <v>21</v>
      </c>
      <c r="I125" t="str">
        <f t="shared" si="6"/>
        <v>Padel Bag</v>
      </c>
      <c r="J125" t="str">
        <f t="shared" si="7"/>
        <v>Valencia</v>
      </c>
      <c r="L125" s="7">
        <f t="shared" si="8"/>
        <v>360</v>
      </c>
      <c r="M125" s="7">
        <f t="shared" si="9"/>
        <v>168</v>
      </c>
      <c r="N125" s="7">
        <f t="shared" si="10"/>
        <v>192</v>
      </c>
      <c r="O125" s="8">
        <f t="shared" si="11"/>
        <v>0.53333333333333333</v>
      </c>
    </row>
    <row r="126" spans="1:15" x14ac:dyDescent="0.2">
      <c r="A126">
        <v>10125</v>
      </c>
      <c r="B126" s="2">
        <v>46102</v>
      </c>
      <c r="C126" t="s">
        <v>23</v>
      </c>
      <c r="D126" t="s">
        <v>20</v>
      </c>
      <c r="E126" t="s">
        <v>15</v>
      </c>
      <c r="F126">
        <v>6</v>
      </c>
      <c r="G126" s="3">
        <v>90</v>
      </c>
      <c r="H126" s="3">
        <v>49</v>
      </c>
      <c r="I126" t="str">
        <f t="shared" si="6"/>
        <v>Padel Shoes</v>
      </c>
      <c r="J126" t="str">
        <f t="shared" si="7"/>
        <v>Barcelona</v>
      </c>
      <c r="L126" s="7">
        <f t="shared" si="8"/>
        <v>540</v>
      </c>
      <c r="M126" s="7">
        <f t="shared" si="9"/>
        <v>294</v>
      </c>
      <c r="N126" s="7">
        <f t="shared" si="10"/>
        <v>246</v>
      </c>
      <c r="O126" s="8">
        <f t="shared" si="11"/>
        <v>0.45555555555555555</v>
      </c>
    </row>
    <row r="127" spans="1:15" x14ac:dyDescent="0.2">
      <c r="A127">
        <v>10126</v>
      </c>
      <c r="B127" s="2">
        <v>46056</v>
      </c>
      <c r="C127" t="s">
        <v>16</v>
      </c>
      <c r="D127" t="s">
        <v>14</v>
      </c>
      <c r="E127" t="s">
        <v>15</v>
      </c>
      <c r="F127">
        <v>5</v>
      </c>
      <c r="G127" s="3">
        <v>120</v>
      </c>
      <c r="H127" s="3">
        <v>72</v>
      </c>
      <c r="I127" t="str">
        <f t="shared" si="6"/>
        <v>Padel Racket</v>
      </c>
      <c r="J127" t="str">
        <f t="shared" si="7"/>
        <v>Barcelona</v>
      </c>
      <c r="L127" s="7">
        <f t="shared" si="8"/>
        <v>600</v>
      </c>
      <c r="M127" s="7">
        <f t="shared" si="9"/>
        <v>360</v>
      </c>
      <c r="N127" s="7">
        <f t="shared" si="10"/>
        <v>240</v>
      </c>
      <c r="O127" s="8">
        <f t="shared" si="11"/>
        <v>0.4</v>
      </c>
    </row>
    <row r="128" spans="1:15" x14ac:dyDescent="0.2">
      <c r="A128">
        <v>10127</v>
      </c>
      <c r="B128" s="2">
        <v>46231</v>
      </c>
      <c r="C128" t="s">
        <v>13</v>
      </c>
      <c r="D128" t="s">
        <v>14</v>
      </c>
      <c r="E128" t="s">
        <v>12</v>
      </c>
      <c r="F128">
        <v>2</v>
      </c>
      <c r="G128" s="3">
        <v>190</v>
      </c>
      <c r="H128" s="3">
        <v>112</v>
      </c>
      <c r="I128" t="str">
        <f t="shared" si="6"/>
        <v>Premium Racket</v>
      </c>
      <c r="J128" t="str">
        <f t="shared" si="7"/>
        <v>Valencia</v>
      </c>
      <c r="L128" s="7">
        <f t="shared" si="8"/>
        <v>380</v>
      </c>
      <c r="M128" s="7">
        <f t="shared" si="9"/>
        <v>224</v>
      </c>
      <c r="N128" s="7">
        <f t="shared" si="10"/>
        <v>156</v>
      </c>
      <c r="O128" s="8">
        <f t="shared" si="11"/>
        <v>0.41052631578947368</v>
      </c>
    </row>
    <row r="129" spans="1:15" x14ac:dyDescent="0.2">
      <c r="A129">
        <v>10128</v>
      </c>
      <c r="B129" s="2">
        <v>46038</v>
      </c>
      <c r="C129" t="s">
        <v>17</v>
      </c>
      <c r="D129" t="s">
        <v>9</v>
      </c>
      <c r="E129" t="s">
        <v>10</v>
      </c>
      <c r="F129">
        <v>7</v>
      </c>
      <c r="G129" s="3">
        <v>45</v>
      </c>
      <c r="H129" s="3">
        <v>21</v>
      </c>
      <c r="I129" t="str">
        <f t="shared" si="6"/>
        <v>Padel Bag</v>
      </c>
      <c r="J129" t="str">
        <f t="shared" si="7"/>
        <v>Madrid</v>
      </c>
      <c r="L129" s="7">
        <f t="shared" si="8"/>
        <v>315</v>
      </c>
      <c r="M129" s="7">
        <f t="shared" si="9"/>
        <v>147</v>
      </c>
      <c r="N129" s="7">
        <f t="shared" si="10"/>
        <v>168</v>
      </c>
      <c r="O129" s="8">
        <f t="shared" si="11"/>
        <v>0.53333333333333333</v>
      </c>
    </row>
    <row r="130" spans="1:15" x14ac:dyDescent="0.2">
      <c r="A130">
        <v>10129</v>
      </c>
      <c r="B130" s="2">
        <v>46054</v>
      </c>
      <c r="C130" t="s">
        <v>8</v>
      </c>
      <c r="D130" t="s">
        <v>9</v>
      </c>
      <c r="E130" t="s">
        <v>10</v>
      </c>
      <c r="F130">
        <v>6</v>
      </c>
      <c r="G130" s="3">
        <v>6</v>
      </c>
      <c r="H130" s="3">
        <v>2</v>
      </c>
      <c r="I130" t="str">
        <f t="shared" si="6"/>
        <v>Grip Tape</v>
      </c>
      <c r="J130" t="str">
        <f t="shared" si="7"/>
        <v>Madrid</v>
      </c>
      <c r="L130" s="7">
        <f t="shared" si="8"/>
        <v>36</v>
      </c>
      <c r="M130" s="7">
        <f t="shared" si="9"/>
        <v>12</v>
      </c>
      <c r="N130" s="7">
        <f t="shared" si="10"/>
        <v>24</v>
      </c>
      <c r="O130" s="8">
        <f t="shared" si="11"/>
        <v>0.66666666666666663</v>
      </c>
    </row>
    <row r="131" spans="1:15" x14ac:dyDescent="0.2">
      <c r="A131">
        <v>10130</v>
      </c>
      <c r="B131" s="2">
        <v>46058</v>
      </c>
      <c r="C131" t="s">
        <v>25</v>
      </c>
      <c r="D131" t="s">
        <v>20</v>
      </c>
      <c r="E131" t="s">
        <v>10</v>
      </c>
      <c r="F131">
        <v>8</v>
      </c>
      <c r="G131" s="3">
        <v>35</v>
      </c>
      <c r="H131" s="3">
        <v>16</v>
      </c>
      <c r="I131" t="str">
        <f t="shared" ref="I131:I194" si="12">PROPER(TRIM(C131))</f>
        <v>Padel Shirt</v>
      </c>
      <c r="J131" t="str">
        <f t="shared" ref="J131:J194" si="13">PROPER(TRIM(E131))</f>
        <v>Madrid</v>
      </c>
      <c r="L131" s="7">
        <f t="shared" ref="L131:L194" si="14">F131*G131</f>
        <v>280</v>
      </c>
      <c r="M131" s="7">
        <f t="shared" ref="M131:M194" si="15">F131*H131</f>
        <v>128</v>
      </c>
      <c r="N131" s="7">
        <f t="shared" ref="N131:N194" si="16">L131-M131</f>
        <v>152</v>
      </c>
      <c r="O131" s="8">
        <f t="shared" ref="O131:O194" si="17">IF(L131=0,0,(N131/L131))</f>
        <v>0.54285714285714282</v>
      </c>
    </row>
    <row r="132" spans="1:15" x14ac:dyDescent="0.2">
      <c r="A132">
        <v>10131</v>
      </c>
      <c r="B132" s="2">
        <v>46055</v>
      </c>
      <c r="C132" t="s">
        <v>18</v>
      </c>
      <c r="D132" t="s">
        <v>9</v>
      </c>
      <c r="E132" t="s">
        <v>15</v>
      </c>
      <c r="F132">
        <v>4</v>
      </c>
      <c r="G132" s="3">
        <v>8</v>
      </c>
      <c r="H132" s="3">
        <v>3</v>
      </c>
      <c r="I132" t="str">
        <f t="shared" si="12"/>
        <v>Padel Balls</v>
      </c>
      <c r="J132" t="str">
        <f t="shared" si="13"/>
        <v>Barcelona</v>
      </c>
      <c r="L132" s="7">
        <f t="shared" si="14"/>
        <v>32</v>
      </c>
      <c r="M132" s="7">
        <f t="shared" si="15"/>
        <v>12</v>
      </c>
      <c r="N132" s="7">
        <f t="shared" si="16"/>
        <v>20</v>
      </c>
      <c r="O132" s="8">
        <f t="shared" si="17"/>
        <v>0.625</v>
      </c>
    </row>
    <row r="133" spans="1:15" x14ac:dyDescent="0.2">
      <c r="A133">
        <v>10132</v>
      </c>
      <c r="B133" s="2">
        <v>46210</v>
      </c>
      <c r="C133" t="s">
        <v>23</v>
      </c>
      <c r="D133" t="s">
        <v>20</v>
      </c>
      <c r="E133" t="s">
        <v>10</v>
      </c>
      <c r="F133">
        <v>4</v>
      </c>
      <c r="G133" s="3">
        <v>90</v>
      </c>
      <c r="H133" s="3">
        <v>49</v>
      </c>
      <c r="I133" t="str">
        <f t="shared" si="12"/>
        <v>Padel Shoes</v>
      </c>
      <c r="J133" t="str">
        <f t="shared" si="13"/>
        <v>Madrid</v>
      </c>
      <c r="L133" s="7">
        <f t="shared" si="14"/>
        <v>360</v>
      </c>
      <c r="M133" s="7">
        <f t="shared" si="15"/>
        <v>196</v>
      </c>
      <c r="N133" s="7">
        <f t="shared" si="16"/>
        <v>164</v>
      </c>
      <c r="O133" s="8">
        <f t="shared" si="17"/>
        <v>0.45555555555555555</v>
      </c>
    </row>
    <row r="134" spans="1:15" x14ac:dyDescent="0.2">
      <c r="A134">
        <v>10133</v>
      </c>
      <c r="B134" s="2">
        <v>46247</v>
      </c>
      <c r="C134" t="s">
        <v>11</v>
      </c>
      <c r="D134" t="s">
        <v>9</v>
      </c>
      <c r="E134" t="s">
        <v>21</v>
      </c>
      <c r="F134">
        <v>8</v>
      </c>
      <c r="G134" s="3">
        <v>12</v>
      </c>
      <c r="H134" s="3">
        <v>4</v>
      </c>
      <c r="I134" t="str">
        <f t="shared" si="12"/>
        <v>Wristband</v>
      </c>
      <c r="J134" t="str">
        <f t="shared" si="13"/>
        <v>Seville</v>
      </c>
      <c r="L134" s="7">
        <f t="shared" si="14"/>
        <v>96</v>
      </c>
      <c r="M134" s="7">
        <f t="shared" si="15"/>
        <v>32</v>
      </c>
      <c r="N134" s="7">
        <f t="shared" si="16"/>
        <v>64</v>
      </c>
      <c r="O134" s="8">
        <f t="shared" si="17"/>
        <v>0.66666666666666663</v>
      </c>
    </row>
    <row r="135" spans="1:15" x14ac:dyDescent="0.2">
      <c r="A135">
        <v>10134</v>
      </c>
      <c r="B135" s="2">
        <v>46210</v>
      </c>
      <c r="C135" t="s">
        <v>23</v>
      </c>
      <c r="D135" t="s">
        <v>20</v>
      </c>
      <c r="E135" t="s">
        <v>12</v>
      </c>
      <c r="F135">
        <v>7</v>
      </c>
      <c r="G135" s="3">
        <v>90</v>
      </c>
      <c r="H135" s="3">
        <v>49</v>
      </c>
      <c r="I135" t="str">
        <f t="shared" si="12"/>
        <v>Padel Shoes</v>
      </c>
      <c r="J135" t="str">
        <f t="shared" si="13"/>
        <v>Valencia</v>
      </c>
      <c r="L135" s="7">
        <f t="shared" si="14"/>
        <v>630</v>
      </c>
      <c r="M135" s="7">
        <f t="shared" si="15"/>
        <v>343</v>
      </c>
      <c r="N135" s="7">
        <f t="shared" si="16"/>
        <v>287</v>
      </c>
      <c r="O135" s="8">
        <f t="shared" si="17"/>
        <v>0.45555555555555555</v>
      </c>
    </row>
    <row r="136" spans="1:15" x14ac:dyDescent="0.2">
      <c r="A136">
        <v>10135</v>
      </c>
      <c r="B136" s="2">
        <v>46195</v>
      </c>
      <c r="C136" t="s">
        <v>16</v>
      </c>
      <c r="D136" t="s">
        <v>14</v>
      </c>
      <c r="E136" t="s">
        <v>12</v>
      </c>
      <c r="F136">
        <v>2</v>
      </c>
      <c r="G136" s="3">
        <v>120</v>
      </c>
      <c r="H136" s="3">
        <v>72</v>
      </c>
      <c r="I136" t="str">
        <f t="shared" si="12"/>
        <v>Padel Racket</v>
      </c>
      <c r="J136" t="str">
        <f t="shared" si="13"/>
        <v>Valencia</v>
      </c>
      <c r="L136" s="7">
        <f t="shared" si="14"/>
        <v>240</v>
      </c>
      <c r="M136" s="7">
        <f t="shared" si="15"/>
        <v>144</v>
      </c>
      <c r="N136" s="7">
        <f t="shared" si="16"/>
        <v>96</v>
      </c>
      <c r="O136" s="8">
        <f t="shared" si="17"/>
        <v>0.4</v>
      </c>
    </row>
    <row r="137" spans="1:15" x14ac:dyDescent="0.2">
      <c r="A137">
        <v>10136</v>
      </c>
      <c r="B137" s="2">
        <v>46265</v>
      </c>
      <c r="C137" t="s">
        <v>25</v>
      </c>
      <c r="D137" t="s">
        <v>20</v>
      </c>
      <c r="E137" t="s">
        <v>12</v>
      </c>
      <c r="F137">
        <v>7</v>
      </c>
      <c r="G137" s="3">
        <v>35</v>
      </c>
      <c r="H137" s="3">
        <v>16</v>
      </c>
      <c r="I137" t="str">
        <f t="shared" si="12"/>
        <v>Padel Shirt</v>
      </c>
      <c r="J137" t="str">
        <f t="shared" si="13"/>
        <v>Valencia</v>
      </c>
      <c r="L137" s="7">
        <f t="shared" si="14"/>
        <v>245</v>
      </c>
      <c r="M137" s="7">
        <f t="shared" si="15"/>
        <v>112</v>
      </c>
      <c r="N137" s="7">
        <f t="shared" si="16"/>
        <v>133</v>
      </c>
      <c r="O137" s="8">
        <f t="shared" si="17"/>
        <v>0.54285714285714282</v>
      </c>
    </row>
    <row r="138" spans="1:15" x14ac:dyDescent="0.2">
      <c r="A138">
        <v>10137</v>
      </c>
      <c r="B138" s="2">
        <v>46045</v>
      </c>
      <c r="C138" t="s">
        <v>29</v>
      </c>
      <c r="D138" t="s">
        <v>9</v>
      </c>
      <c r="E138" t="s">
        <v>10</v>
      </c>
      <c r="F138">
        <v>2</v>
      </c>
      <c r="G138" s="3">
        <v>6</v>
      </c>
      <c r="H138" s="3">
        <v>2</v>
      </c>
      <c r="I138" t="str">
        <f t="shared" si="12"/>
        <v>Grip Tape</v>
      </c>
      <c r="J138" t="str">
        <f t="shared" si="13"/>
        <v>Madrid</v>
      </c>
      <c r="L138" s="7">
        <f t="shared" si="14"/>
        <v>12</v>
      </c>
      <c r="M138" s="7">
        <f t="shared" si="15"/>
        <v>4</v>
      </c>
      <c r="N138" s="7">
        <f t="shared" si="16"/>
        <v>8</v>
      </c>
      <c r="O138" s="8">
        <f t="shared" si="17"/>
        <v>0.66666666666666663</v>
      </c>
    </row>
    <row r="139" spans="1:15" x14ac:dyDescent="0.2">
      <c r="A139">
        <v>10138</v>
      </c>
      <c r="B139" s="2">
        <v>46217</v>
      </c>
      <c r="C139" t="s">
        <v>18</v>
      </c>
      <c r="D139" t="s">
        <v>9</v>
      </c>
      <c r="E139" t="s">
        <v>21</v>
      </c>
      <c r="F139">
        <v>6</v>
      </c>
      <c r="G139" s="3">
        <v>8</v>
      </c>
      <c r="H139" s="3">
        <v>3</v>
      </c>
      <c r="I139" t="str">
        <f t="shared" si="12"/>
        <v>Padel Balls</v>
      </c>
      <c r="J139" t="str">
        <f t="shared" si="13"/>
        <v>Seville</v>
      </c>
      <c r="L139" s="7">
        <f t="shared" si="14"/>
        <v>48</v>
      </c>
      <c r="M139" s="7">
        <f t="shared" si="15"/>
        <v>18</v>
      </c>
      <c r="N139" s="7">
        <f t="shared" si="16"/>
        <v>30</v>
      </c>
      <c r="O139" s="8">
        <f t="shared" si="17"/>
        <v>0.625</v>
      </c>
    </row>
    <row r="140" spans="1:15" x14ac:dyDescent="0.2">
      <c r="A140">
        <v>10139</v>
      </c>
      <c r="B140" s="2">
        <v>46127</v>
      </c>
      <c r="C140" t="s">
        <v>11</v>
      </c>
      <c r="D140" t="s">
        <v>9</v>
      </c>
      <c r="E140" t="s">
        <v>15</v>
      </c>
      <c r="F140">
        <v>6</v>
      </c>
      <c r="G140" s="3">
        <v>12</v>
      </c>
      <c r="H140" s="3">
        <v>4</v>
      </c>
      <c r="I140" t="str">
        <f t="shared" si="12"/>
        <v>Wristband</v>
      </c>
      <c r="J140" t="str">
        <f t="shared" si="13"/>
        <v>Barcelona</v>
      </c>
      <c r="L140" s="7">
        <f t="shared" si="14"/>
        <v>72</v>
      </c>
      <c r="M140" s="7">
        <f t="shared" si="15"/>
        <v>24</v>
      </c>
      <c r="N140" s="7">
        <f t="shared" si="16"/>
        <v>48</v>
      </c>
      <c r="O140" s="8">
        <f t="shared" si="17"/>
        <v>0.66666666666666663</v>
      </c>
    </row>
    <row r="141" spans="1:15" x14ac:dyDescent="0.2">
      <c r="A141">
        <v>10140</v>
      </c>
      <c r="B141" s="2">
        <v>46150</v>
      </c>
      <c r="C141" t="s">
        <v>17</v>
      </c>
      <c r="D141" t="s">
        <v>9</v>
      </c>
      <c r="E141" t="s">
        <v>10</v>
      </c>
      <c r="F141">
        <v>1</v>
      </c>
      <c r="G141" s="3">
        <v>45</v>
      </c>
      <c r="H141" s="3">
        <v>21</v>
      </c>
      <c r="I141" t="str">
        <f t="shared" si="12"/>
        <v>Padel Bag</v>
      </c>
      <c r="J141" t="str">
        <f t="shared" si="13"/>
        <v>Madrid</v>
      </c>
      <c r="L141" s="7">
        <f t="shared" si="14"/>
        <v>45</v>
      </c>
      <c r="M141" s="7">
        <f t="shared" si="15"/>
        <v>21</v>
      </c>
      <c r="N141" s="7">
        <f t="shared" si="16"/>
        <v>24</v>
      </c>
      <c r="O141" s="8">
        <f t="shared" si="17"/>
        <v>0.53333333333333333</v>
      </c>
    </row>
    <row r="142" spans="1:15" x14ac:dyDescent="0.2">
      <c r="A142">
        <v>10141</v>
      </c>
      <c r="B142" s="2">
        <v>46278</v>
      </c>
      <c r="C142" t="s">
        <v>11</v>
      </c>
      <c r="D142" t="s">
        <v>9</v>
      </c>
      <c r="E142" t="s">
        <v>12</v>
      </c>
      <c r="F142">
        <v>8</v>
      </c>
      <c r="G142" s="3">
        <v>12</v>
      </c>
      <c r="H142" s="3">
        <v>4</v>
      </c>
      <c r="I142" t="str">
        <f t="shared" si="12"/>
        <v>Wristband</v>
      </c>
      <c r="J142" t="str">
        <f t="shared" si="13"/>
        <v>Valencia</v>
      </c>
      <c r="L142" s="7">
        <f t="shared" si="14"/>
        <v>96</v>
      </c>
      <c r="M142" s="7">
        <f t="shared" si="15"/>
        <v>32</v>
      </c>
      <c r="N142" s="7">
        <f t="shared" si="16"/>
        <v>64</v>
      </c>
      <c r="O142" s="8">
        <f t="shared" si="17"/>
        <v>0.66666666666666663</v>
      </c>
    </row>
    <row r="143" spans="1:15" x14ac:dyDescent="0.2">
      <c r="A143">
        <v>10142</v>
      </c>
      <c r="B143" s="2">
        <v>46094</v>
      </c>
      <c r="C143" t="s">
        <v>11</v>
      </c>
      <c r="D143" t="s">
        <v>9</v>
      </c>
      <c r="E143" t="s">
        <v>12</v>
      </c>
      <c r="F143">
        <v>7</v>
      </c>
      <c r="G143" s="3">
        <v>12</v>
      </c>
      <c r="H143" s="3">
        <v>4</v>
      </c>
      <c r="I143" t="str">
        <f t="shared" si="12"/>
        <v>Wristband</v>
      </c>
      <c r="J143" t="str">
        <f t="shared" si="13"/>
        <v>Valencia</v>
      </c>
      <c r="L143" s="7">
        <f t="shared" si="14"/>
        <v>84</v>
      </c>
      <c r="M143" s="7">
        <f t="shared" si="15"/>
        <v>28</v>
      </c>
      <c r="N143" s="7">
        <f t="shared" si="16"/>
        <v>56</v>
      </c>
      <c r="O143" s="8">
        <f t="shared" si="17"/>
        <v>0.66666666666666663</v>
      </c>
    </row>
    <row r="144" spans="1:15" x14ac:dyDescent="0.2">
      <c r="A144">
        <v>10143</v>
      </c>
      <c r="B144" s="2">
        <v>46245</v>
      </c>
      <c r="C144" t="s">
        <v>23</v>
      </c>
      <c r="D144" t="s">
        <v>20</v>
      </c>
      <c r="E144" t="s">
        <v>21</v>
      </c>
      <c r="F144">
        <v>5</v>
      </c>
      <c r="G144" s="3">
        <v>90</v>
      </c>
      <c r="H144" s="3">
        <v>49</v>
      </c>
      <c r="I144" t="str">
        <f t="shared" si="12"/>
        <v>Padel Shoes</v>
      </c>
      <c r="J144" t="str">
        <f t="shared" si="13"/>
        <v>Seville</v>
      </c>
      <c r="L144" s="7">
        <f t="shared" si="14"/>
        <v>450</v>
      </c>
      <c r="M144" s="7">
        <f t="shared" si="15"/>
        <v>245</v>
      </c>
      <c r="N144" s="7">
        <f t="shared" si="16"/>
        <v>205</v>
      </c>
      <c r="O144" s="8">
        <f t="shared" si="17"/>
        <v>0.45555555555555555</v>
      </c>
    </row>
    <row r="145" spans="1:15" x14ac:dyDescent="0.2">
      <c r="A145">
        <v>10144</v>
      </c>
      <c r="B145" s="2">
        <v>46141</v>
      </c>
      <c r="C145" t="s">
        <v>11</v>
      </c>
      <c r="D145" t="s">
        <v>9</v>
      </c>
      <c r="E145" t="s">
        <v>12</v>
      </c>
      <c r="F145">
        <v>6</v>
      </c>
      <c r="G145" s="3">
        <v>12</v>
      </c>
      <c r="H145" s="3">
        <v>4</v>
      </c>
      <c r="I145" t="str">
        <f t="shared" si="12"/>
        <v>Wristband</v>
      </c>
      <c r="J145" t="str">
        <f t="shared" si="13"/>
        <v>Valencia</v>
      </c>
      <c r="L145" s="7">
        <f t="shared" si="14"/>
        <v>72</v>
      </c>
      <c r="M145" s="7">
        <f t="shared" si="15"/>
        <v>24</v>
      </c>
      <c r="N145" s="7">
        <f t="shared" si="16"/>
        <v>48</v>
      </c>
      <c r="O145" s="8">
        <f t="shared" si="17"/>
        <v>0.66666666666666663</v>
      </c>
    </row>
    <row r="146" spans="1:15" x14ac:dyDescent="0.2">
      <c r="A146">
        <v>10145</v>
      </c>
      <c r="B146" s="2">
        <v>46179</v>
      </c>
      <c r="C146" t="s">
        <v>16</v>
      </c>
      <c r="D146" t="s">
        <v>14</v>
      </c>
      <c r="E146" t="s">
        <v>12</v>
      </c>
      <c r="F146">
        <v>8</v>
      </c>
      <c r="G146" s="3">
        <v>120</v>
      </c>
      <c r="H146" s="3">
        <v>72</v>
      </c>
      <c r="I146" t="str">
        <f t="shared" si="12"/>
        <v>Padel Racket</v>
      </c>
      <c r="J146" t="str">
        <f t="shared" si="13"/>
        <v>Valencia</v>
      </c>
      <c r="L146" s="7">
        <f t="shared" si="14"/>
        <v>960</v>
      </c>
      <c r="M146" s="7">
        <f t="shared" si="15"/>
        <v>576</v>
      </c>
      <c r="N146" s="7">
        <f t="shared" si="16"/>
        <v>384</v>
      </c>
      <c r="O146" s="8">
        <f t="shared" si="17"/>
        <v>0.4</v>
      </c>
    </row>
    <row r="147" spans="1:15" x14ac:dyDescent="0.2">
      <c r="A147">
        <v>10146</v>
      </c>
      <c r="B147" s="2">
        <v>46196</v>
      </c>
      <c r="C147" t="s">
        <v>18</v>
      </c>
      <c r="D147" t="s">
        <v>9</v>
      </c>
      <c r="E147" t="s">
        <v>21</v>
      </c>
      <c r="F147">
        <v>5</v>
      </c>
      <c r="G147" s="3">
        <v>8</v>
      </c>
      <c r="H147" s="3">
        <v>3</v>
      </c>
      <c r="I147" t="str">
        <f t="shared" si="12"/>
        <v>Padel Balls</v>
      </c>
      <c r="J147" t="str">
        <f t="shared" si="13"/>
        <v>Seville</v>
      </c>
      <c r="L147" s="7">
        <f t="shared" si="14"/>
        <v>40</v>
      </c>
      <c r="M147" s="7">
        <f t="shared" si="15"/>
        <v>15</v>
      </c>
      <c r="N147" s="7">
        <f t="shared" si="16"/>
        <v>25</v>
      </c>
      <c r="O147" s="8">
        <f t="shared" si="17"/>
        <v>0.625</v>
      </c>
    </row>
    <row r="148" spans="1:15" x14ac:dyDescent="0.2">
      <c r="A148">
        <v>10147</v>
      </c>
      <c r="B148" s="2">
        <v>46189</v>
      </c>
      <c r="C148" t="s">
        <v>13</v>
      </c>
      <c r="D148" t="s">
        <v>14</v>
      </c>
      <c r="E148" t="s">
        <v>10</v>
      </c>
      <c r="F148">
        <v>3</v>
      </c>
      <c r="G148" s="3">
        <v>190</v>
      </c>
      <c r="H148" s="3">
        <v>112</v>
      </c>
      <c r="I148" t="str">
        <f t="shared" si="12"/>
        <v>Premium Racket</v>
      </c>
      <c r="J148" t="str">
        <f t="shared" si="13"/>
        <v>Madrid</v>
      </c>
      <c r="L148" s="7">
        <f t="shared" si="14"/>
        <v>570</v>
      </c>
      <c r="M148" s="7">
        <f t="shared" si="15"/>
        <v>336</v>
      </c>
      <c r="N148" s="7">
        <f t="shared" si="16"/>
        <v>234</v>
      </c>
      <c r="O148" s="8">
        <f t="shared" si="17"/>
        <v>0.41052631578947368</v>
      </c>
    </row>
    <row r="149" spans="1:15" x14ac:dyDescent="0.2">
      <c r="A149">
        <v>10148</v>
      </c>
      <c r="B149" s="2">
        <v>46190</v>
      </c>
      <c r="C149" t="s">
        <v>18</v>
      </c>
      <c r="D149" t="s">
        <v>9</v>
      </c>
      <c r="E149" t="s">
        <v>10</v>
      </c>
      <c r="F149">
        <v>1</v>
      </c>
      <c r="G149" s="3">
        <v>8</v>
      </c>
      <c r="H149" s="3">
        <v>3</v>
      </c>
      <c r="I149" t="str">
        <f t="shared" si="12"/>
        <v>Padel Balls</v>
      </c>
      <c r="J149" t="str">
        <f t="shared" si="13"/>
        <v>Madrid</v>
      </c>
      <c r="L149" s="7">
        <f t="shared" si="14"/>
        <v>8</v>
      </c>
      <c r="M149" s="7">
        <f t="shared" si="15"/>
        <v>3</v>
      </c>
      <c r="N149" s="7">
        <f t="shared" si="16"/>
        <v>5</v>
      </c>
      <c r="O149" s="8">
        <f t="shared" si="17"/>
        <v>0.625</v>
      </c>
    </row>
    <row r="150" spans="1:15" x14ac:dyDescent="0.2">
      <c r="A150">
        <v>10149</v>
      </c>
      <c r="B150" s="2">
        <v>46030</v>
      </c>
      <c r="C150" t="s">
        <v>11</v>
      </c>
      <c r="D150" t="s">
        <v>9</v>
      </c>
      <c r="E150" t="s">
        <v>21</v>
      </c>
      <c r="F150">
        <v>1</v>
      </c>
      <c r="G150" s="3">
        <v>12</v>
      </c>
      <c r="H150" s="3">
        <v>4</v>
      </c>
      <c r="I150" t="str">
        <f t="shared" si="12"/>
        <v>Wristband</v>
      </c>
      <c r="J150" t="str">
        <f t="shared" si="13"/>
        <v>Seville</v>
      </c>
      <c r="L150" s="7">
        <f t="shared" si="14"/>
        <v>12</v>
      </c>
      <c r="M150" s="7">
        <f t="shared" si="15"/>
        <v>4</v>
      </c>
      <c r="N150" s="7">
        <f t="shared" si="16"/>
        <v>8</v>
      </c>
      <c r="O150" s="8">
        <f t="shared" si="17"/>
        <v>0.66666666666666663</v>
      </c>
    </row>
    <row r="151" spans="1:15" x14ac:dyDescent="0.2">
      <c r="A151">
        <v>10150</v>
      </c>
      <c r="B151" s="2">
        <v>46118</v>
      </c>
      <c r="C151" t="s">
        <v>17</v>
      </c>
      <c r="D151" t="s">
        <v>9</v>
      </c>
      <c r="E151" t="s">
        <v>15</v>
      </c>
      <c r="F151">
        <v>7</v>
      </c>
      <c r="G151" s="3">
        <v>45</v>
      </c>
      <c r="H151" s="3">
        <v>21</v>
      </c>
      <c r="I151" t="str">
        <f t="shared" si="12"/>
        <v>Padel Bag</v>
      </c>
      <c r="J151" t="str">
        <f t="shared" si="13"/>
        <v>Barcelona</v>
      </c>
      <c r="L151" s="7">
        <f t="shared" si="14"/>
        <v>315</v>
      </c>
      <c r="M151" s="7">
        <f t="shared" si="15"/>
        <v>147</v>
      </c>
      <c r="N151" s="7">
        <f t="shared" si="16"/>
        <v>168</v>
      </c>
      <c r="O151" s="8">
        <f t="shared" si="17"/>
        <v>0.53333333333333333</v>
      </c>
    </row>
    <row r="152" spans="1:15" x14ac:dyDescent="0.2">
      <c r="A152">
        <v>10151</v>
      </c>
      <c r="B152" s="2">
        <v>46045</v>
      </c>
      <c r="C152" t="s">
        <v>25</v>
      </c>
      <c r="D152" t="s">
        <v>20</v>
      </c>
      <c r="E152" t="s">
        <v>10</v>
      </c>
      <c r="F152">
        <v>3</v>
      </c>
      <c r="G152" s="3">
        <v>35</v>
      </c>
      <c r="H152" s="3">
        <v>16</v>
      </c>
      <c r="I152" t="str">
        <f t="shared" si="12"/>
        <v>Padel Shirt</v>
      </c>
      <c r="J152" t="str">
        <f t="shared" si="13"/>
        <v>Madrid</v>
      </c>
      <c r="L152" s="7">
        <f t="shared" si="14"/>
        <v>105</v>
      </c>
      <c r="M152" s="7">
        <f t="shared" si="15"/>
        <v>48</v>
      </c>
      <c r="N152" s="7">
        <f t="shared" si="16"/>
        <v>57</v>
      </c>
      <c r="O152" s="8">
        <f t="shared" si="17"/>
        <v>0.54285714285714282</v>
      </c>
    </row>
    <row r="153" spans="1:15" x14ac:dyDescent="0.2">
      <c r="A153">
        <v>10152</v>
      </c>
      <c r="B153" s="2">
        <v>46106</v>
      </c>
      <c r="C153" t="s">
        <v>25</v>
      </c>
      <c r="D153" t="s">
        <v>20</v>
      </c>
      <c r="E153" t="s">
        <v>22</v>
      </c>
      <c r="F153">
        <v>2</v>
      </c>
      <c r="G153" s="3">
        <v>35</v>
      </c>
      <c r="H153" s="3">
        <v>16</v>
      </c>
      <c r="I153" t="str">
        <f t="shared" si="12"/>
        <v>Padel Shirt</v>
      </c>
      <c r="J153" t="str">
        <f t="shared" si="13"/>
        <v>Barcelona</v>
      </c>
      <c r="L153" s="7">
        <f t="shared" si="14"/>
        <v>70</v>
      </c>
      <c r="M153" s="7">
        <f t="shared" si="15"/>
        <v>32</v>
      </c>
      <c r="N153" s="7">
        <f t="shared" si="16"/>
        <v>38</v>
      </c>
      <c r="O153" s="8">
        <f t="shared" si="17"/>
        <v>0.54285714285714282</v>
      </c>
    </row>
    <row r="154" spans="1:15" x14ac:dyDescent="0.2">
      <c r="A154">
        <v>10153</v>
      </c>
      <c r="B154" s="2">
        <v>46208</v>
      </c>
      <c r="C154" t="s">
        <v>11</v>
      </c>
      <c r="D154" t="s">
        <v>9</v>
      </c>
      <c r="E154" t="s">
        <v>15</v>
      </c>
      <c r="F154">
        <v>3</v>
      </c>
      <c r="G154" s="3">
        <v>12</v>
      </c>
      <c r="H154" s="3">
        <v>4</v>
      </c>
      <c r="I154" t="str">
        <f t="shared" si="12"/>
        <v>Wristband</v>
      </c>
      <c r="J154" t="str">
        <f t="shared" si="13"/>
        <v>Barcelona</v>
      </c>
      <c r="L154" s="7">
        <f t="shared" si="14"/>
        <v>36</v>
      </c>
      <c r="M154" s="7">
        <f t="shared" si="15"/>
        <v>12</v>
      </c>
      <c r="N154" s="7">
        <f t="shared" si="16"/>
        <v>24</v>
      </c>
      <c r="O154" s="8">
        <f t="shared" si="17"/>
        <v>0.66666666666666663</v>
      </c>
    </row>
    <row r="155" spans="1:15" x14ac:dyDescent="0.2">
      <c r="A155">
        <v>10154</v>
      </c>
      <c r="B155" s="2">
        <v>46286</v>
      </c>
      <c r="C155" t="s">
        <v>17</v>
      </c>
      <c r="D155" t="s">
        <v>9</v>
      </c>
      <c r="E155" t="s">
        <v>15</v>
      </c>
      <c r="F155">
        <v>3</v>
      </c>
      <c r="G155" s="3">
        <v>45</v>
      </c>
      <c r="H155" s="3">
        <v>21</v>
      </c>
      <c r="I155" t="str">
        <f t="shared" si="12"/>
        <v>Padel Bag</v>
      </c>
      <c r="J155" t="str">
        <f t="shared" si="13"/>
        <v>Barcelona</v>
      </c>
      <c r="L155" s="7">
        <f t="shared" si="14"/>
        <v>135</v>
      </c>
      <c r="M155" s="7">
        <f t="shared" si="15"/>
        <v>63</v>
      </c>
      <c r="N155" s="7">
        <f t="shared" si="16"/>
        <v>72</v>
      </c>
      <c r="O155" s="8">
        <f t="shared" si="17"/>
        <v>0.53333333333333333</v>
      </c>
    </row>
    <row r="156" spans="1:15" x14ac:dyDescent="0.2">
      <c r="A156">
        <v>10155</v>
      </c>
      <c r="B156" s="2">
        <v>46244</v>
      </c>
      <c r="C156" t="s">
        <v>11</v>
      </c>
      <c r="D156" t="s">
        <v>9</v>
      </c>
      <c r="E156" t="s">
        <v>12</v>
      </c>
      <c r="F156">
        <v>6</v>
      </c>
      <c r="G156" s="3">
        <v>12</v>
      </c>
      <c r="H156" s="3">
        <v>4</v>
      </c>
      <c r="I156" t="str">
        <f t="shared" si="12"/>
        <v>Wristband</v>
      </c>
      <c r="J156" t="str">
        <f t="shared" si="13"/>
        <v>Valencia</v>
      </c>
      <c r="L156" s="7">
        <f t="shared" si="14"/>
        <v>72</v>
      </c>
      <c r="M156" s="7">
        <f t="shared" si="15"/>
        <v>24</v>
      </c>
      <c r="N156" s="7">
        <f t="shared" si="16"/>
        <v>48</v>
      </c>
      <c r="O156" s="8">
        <f t="shared" si="17"/>
        <v>0.66666666666666663</v>
      </c>
    </row>
    <row r="157" spans="1:15" x14ac:dyDescent="0.2">
      <c r="A157">
        <v>10156</v>
      </c>
      <c r="B157" s="2">
        <v>46055</v>
      </c>
      <c r="C157" t="s">
        <v>11</v>
      </c>
      <c r="D157" t="s">
        <v>9</v>
      </c>
      <c r="E157" t="s">
        <v>12</v>
      </c>
      <c r="F157">
        <v>3</v>
      </c>
      <c r="G157" s="3">
        <v>12</v>
      </c>
      <c r="H157" s="3">
        <v>4</v>
      </c>
      <c r="I157" t="str">
        <f t="shared" si="12"/>
        <v>Wristband</v>
      </c>
      <c r="J157" t="str">
        <f t="shared" si="13"/>
        <v>Valencia</v>
      </c>
      <c r="L157" s="7">
        <f t="shared" si="14"/>
        <v>36</v>
      </c>
      <c r="M157" s="7">
        <f t="shared" si="15"/>
        <v>12</v>
      </c>
      <c r="N157" s="7">
        <f t="shared" si="16"/>
        <v>24</v>
      </c>
      <c r="O157" s="8">
        <f t="shared" si="17"/>
        <v>0.66666666666666663</v>
      </c>
    </row>
    <row r="158" spans="1:15" x14ac:dyDescent="0.2">
      <c r="A158">
        <v>10157</v>
      </c>
      <c r="B158" s="2">
        <v>46158</v>
      </c>
      <c r="C158" t="s">
        <v>23</v>
      </c>
      <c r="D158" t="s">
        <v>20</v>
      </c>
      <c r="E158" t="s">
        <v>15</v>
      </c>
      <c r="F158">
        <v>8</v>
      </c>
      <c r="G158" s="3">
        <v>90</v>
      </c>
      <c r="H158" s="3">
        <v>49</v>
      </c>
      <c r="I158" t="str">
        <f t="shared" si="12"/>
        <v>Padel Shoes</v>
      </c>
      <c r="J158" t="str">
        <f t="shared" si="13"/>
        <v>Barcelona</v>
      </c>
      <c r="L158" s="7">
        <f t="shared" si="14"/>
        <v>720</v>
      </c>
      <c r="M158" s="7">
        <f t="shared" si="15"/>
        <v>392</v>
      </c>
      <c r="N158" s="7">
        <f t="shared" si="16"/>
        <v>328</v>
      </c>
      <c r="O158" s="8">
        <f t="shared" si="17"/>
        <v>0.45555555555555555</v>
      </c>
    </row>
    <row r="159" spans="1:15" x14ac:dyDescent="0.2">
      <c r="A159">
        <v>10158</v>
      </c>
      <c r="B159" s="2">
        <v>46184</v>
      </c>
      <c r="C159" t="s">
        <v>16</v>
      </c>
      <c r="D159" t="s">
        <v>14</v>
      </c>
      <c r="E159" t="s">
        <v>12</v>
      </c>
      <c r="F159">
        <v>8</v>
      </c>
      <c r="G159" s="3">
        <v>120</v>
      </c>
      <c r="H159" s="3">
        <v>72</v>
      </c>
      <c r="I159" t="str">
        <f t="shared" si="12"/>
        <v>Padel Racket</v>
      </c>
      <c r="J159" t="str">
        <f t="shared" si="13"/>
        <v>Valencia</v>
      </c>
      <c r="L159" s="7">
        <f t="shared" si="14"/>
        <v>960</v>
      </c>
      <c r="M159" s="7">
        <f t="shared" si="15"/>
        <v>576</v>
      </c>
      <c r="N159" s="7">
        <f t="shared" si="16"/>
        <v>384</v>
      </c>
      <c r="O159" s="8">
        <f t="shared" si="17"/>
        <v>0.4</v>
      </c>
    </row>
    <row r="160" spans="1:15" x14ac:dyDescent="0.2">
      <c r="A160">
        <v>10159</v>
      </c>
      <c r="B160" s="2">
        <v>46032</v>
      </c>
      <c r="C160" t="s">
        <v>25</v>
      </c>
      <c r="D160" t="s">
        <v>20</v>
      </c>
      <c r="E160" t="s">
        <v>15</v>
      </c>
      <c r="F160">
        <v>5</v>
      </c>
      <c r="G160" s="3">
        <v>35</v>
      </c>
      <c r="H160" s="3">
        <v>16</v>
      </c>
      <c r="I160" t="str">
        <f t="shared" si="12"/>
        <v>Padel Shirt</v>
      </c>
      <c r="J160" t="str">
        <f t="shared" si="13"/>
        <v>Barcelona</v>
      </c>
      <c r="L160" s="7">
        <f t="shared" si="14"/>
        <v>175</v>
      </c>
      <c r="M160" s="7">
        <f t="shared" si="15"/>
        <v>80</v>
      </c>
      <c r="N160" s="7">
        <f t="shared" si="16"/>
        <v>95</v>
      </c>
      <c r="O160" s="8">
        <f t="shared" si="17"/>
        <v>0.54285714285714282</v>
      </c>
    </row>
    <row r="161" spans="1:15" x14ac:dyDescent="0.2">
      <c r="A161">
        <v>10160</v>
      </c>
      <c r="B161" s="2">
        <v>46034</v>
      </c>
      <c r="C161" t="s">
        <v>23</v>
      </c>
      <c r="D161" t="s">
        <v>20</v>
      </c>
      <c r="E161" t="s">
        <v>15</v>
      </c>
      <c r="F161">
        <v>7</v>
      </c>
      <c r="G161" s="3">
        <v>90</v>
      </c>
      <c r="H161" s="3">
        <v>49</v>
      </c>
      <c r="I161" t="str">
        <f t="shared" si="12"/>
        <v>Padel Shoes</v>
      </c>
      <c r="J161" t="str">
        <f t="shared" si="13"/>
        <v>Barcelona</v>
      </c>
      <c r="L161" s="7">
        <f t="shared" si="14"/>
        <v>630</v>
      </c>
      <c r="M161" s="7">
        <f t="shared" si="15"/>
        <v>343</v>
      </c>
      <c r="N161" s="7">
        <f t="shared" si="16"/>
        <v>287</v>
      </c>
      <c r="O161" s="8">
        <f t="shared" si="17"/>
        <v>0.45555555555555555</v>
      </c>
    </row>
    <row r="162" spans="1:15" x14ac:dyDescent="0.2">
      <c r="A162">
        <v>10161</v>
      </c>
      <c r="B162" s="2">
        <v>46276</v>
      </c>
      <c r="C162" t="s">
        <v>13</v>
      </c>
      <c r="D162" t="s">
        <v>14</v>
      </c>
      <c r="E162" t="s">
        <v>12</v>
      </c>
      <c r="F162">
        <v>6</v>
      </c>
      <c r="G162" s="3">
        <v>190</v>
      </c>
      <c r="H162" s="3">
        <v>112</v>
      </c>
      <c r="I162" t="str">
        <f t="shared" si="12"/>
        <v>Premium Racket</v>
      </c>
      <c r="J162" t="str">
        <f t="shared" si="13"/>
        <v>Valencia</v>
      </c>
      <c r="L162" s="7">
        <f t="shared" si="14"/>
        <v>1140</v>
      </c>
      <c r="M162" s="7">
        <f t="shared" si="15"/>
        <v>672</v>
      </c>
      <c r="N162" s="7">
        <f t="shared" si="16"/>
        <v>468</v>
      </c>
      <c r="O162" s="8">
        <f t="shared" si="17"/>
        <v>0.41052631578947368</v>
      </c>
    </row>
    <row r="163" spans="1:15" x14ac:dyDescent="0.2">
      <c r="A163">
        <v>10162</v>
      </c>
      <c r="B163" s="2">
        <v>46227</v>
      </c>
      <c r="C163" t="s">
        <v>16</v>
      </c>
      <c r="D163" t="s">
        <v>14</v>
      </c>
      <c r="E163" t="s">
        <v>15</v>
      </c>
      <c r="F163">
        <v>2</v>
      </c>
      <c r="G163" s="3">
        <v>120</v>
      </c>
      <c r="H163" s="3">
        <v>72</v>
      </c>
      <c r="I163" t="str">
        <f t="shared" si="12"/>
        <v>Padel Racket</v>
      </c>
      <c r="J163" t="str">
        <f t="shared" si="13"/>
        <v>Barcelona</v>
      </c>
      <c r="L163" s="7">
        <f t="shared" si="14"/>
        <v>240</v>
      </c>
      <c r="M163" s="7">
        <f t="shared" si="15"/>
        <v>144</v>
      </c>
      <c r="N163" s="7">
        <f t="shared" si="16"/>
        <v>96</v>
      </c>
      <c r="O163" s="8">
        <f t="shared" si="17"/>
        <v>0.4</v>
      </c>
    </row>
    <row r="164" spans="1:15" x14ac:dyDescent="0.2">
      <c r="A164">
        <v>10163</v>
      </c>
      <c r="B164" s="2">
        <v>46133</v>
      </c>
      <c r="C164" t="s">
        <v>8</v>
      </c>
      <c r="D164" t="s">
        <v>9</v>
      </c>
      <c r="E164" t="s">
        <v>21</v>
      </c>
      <c r="F164">
        <v>5</v>
      </c>
      <c r="G164" s="3">
        <v>6</v>
      </c>
      <c r="H164" s="3">
        <v>2</v>
      </c>
      <c r="I164" t="str">
        <f t="shared" si="12"/>
        <v>Grip Tape</v>
      </c>
      <c r="J164" t="str">
        <f t="shared" si="13"/>
        <v>Seville</v>
      </c>
      <c r="L164" s="7">
        <f t="shared" si="14"/>
        <v>30</v>
      </c>
      <c r="M164" s="7">
        <f t="shared" si="15"/>
        <v>10</v>
      </c>
      <c r="N164" s="7">
        <f t="shared" si="16"/>
        <v>20</v>
      </c>
      <c r="O164" s="8">
        <f t="shared" si="17"/>
        <v>0.66666666666666663</v>
      </c>
    </row>
    <row r="165" spans="1:15" x14ac:dyDescent="0.2">
      <c r="A165">
        <v>10164</v>
      </c>
      <c r="B165" s="2">
        <v>46253</v>
      </c>
      <c r="C165" t="s">
        <v>8</v>
      </c>
      <c r="D165" t="s">
        <v>9</v>
      </c>
      <c r="E165" t="s">
        <v>15</v>
      </c>
      <c r="F165">
        <v>1</v>
      </c>
      <c r="G165" s="3">
        <v>6</v>
      </c>
      <c r="H165" s="3">
        <v>2</v>
      </c>
      <c r="I165" t="str">
        <f t="shared" si="12"/>
        <v>Grip Tape</v>
      </c>
      <c r="J165" t="str">
        <f t="shared" si="13"/>
        <v>Barcelona</v>
      </c>
      <c r="K165" t="s">
        <v>53</v>
      </c>
      <c r="L165" s="7">
        <f t="shared" si="14"/>
        <v>6</v>
      </c>
      <c r="M165" s="7">
        <f t="shared" si="15"/>
        <v>2</v>
      </c>
      <c r="N165" s="7">
        <f t="shared" si="16"/>
        <v>4</v>
      </c>
      <c r="O165" s="8">
        <f t="shared" si="17"/>
        <v>0.66666666666666663</v>
      </c>
    </row>
    <row r="166" spans="1:15" x14ac:dyDescent="0.2">
      <c r="A166">
        <v>10165</v>
      </c>
      <c r="B166" s="2">
        <v>46248</v>
      </c>
      <c r="C166" t="s">
        <v>18</v>
      </c>
      <c r="D166" t="s">
        <v>9</v>
      </c>
      <c r="E166" t="s">
        <v>12</v>
      </c>
      <c r="F166">
        <v>7</v>
      </c>
      <c r="G166" s="3">
        <v>8</v>
      </c>
      <c r="H166" s="3">
        <v>3</v>
      </c>
      <c r="I166" t="str">
        <f t="shared" si="12"/>
        <v>Padel Balls</v>
      </c>
      <c r="J166" t="str">
        <f t="shared" si="13"/>
        <v>Valencia</v>
      </c>
      <c r="L166" s="7">
        <f t="shared" si="14"/>
        <v>56</v>
      </c>
      <c r="M166" s="7">
        <f t="shared" si="15"/>
        <v>21</v>
      </c>
      <c r="N166" s="7">
        <f t="shared" si="16"/>
        <v>35</v>
      </c>
      <c r="O166" s="8">
        <f t="shared" si="17"/>
        <v>0.625</v>
      </c>
    </row>
    <row r="167" spans="1:15" x14ac:dyDescent="0.2">
      <c r="A167">
        <v>10166</v>
      </c>
      <c r="B167" s="2">
        <v>46200</v>
      </c>
      <c r="C167" t="s">
        <v>18</v>
      </c>
      <c r="D167" t="s">
        <v>9</v>
      </c>
      <c r="E167" t="s">
        <v>15</v>
      </c>
      <c r="F167">
        <v>6</v>
      </c>
      <c r="G167" s="3">
        <v>8</v>
      </c>
      <c r="H167" s="3">
        <v>3</v>
      </c>
      <c r="I167" t="str">
        <f t="shared" si="12"/>
        <v>Padel Balls</v>
      </c>
      <c r="J167" t="str">
        <f t="shared" si="13"/>
        <v>Barcelona</v>
      </c>
      <c r="L167" s="7">
        <f t="shared" si="14"/>
        <v>48</v>
      </c>
      <c r="M167" s="7">
        <f t="shared" si="15"/>
        <v>18</v>
      </c>
      <c r="N167" s="7">
        <f t="shared" si="16"/>
        <v>30</v>
      </c>
      <c r="O167" s="8">
        <f t="shared" si="17"/>
        <v>0.625</v>
      </c>
    </row>
    <row r="168" spans="1:15" x14ac:dyDescent="0.2">
      <c r="A168">
        <v>10167</v>
      </c>
      <c r="B168" s="2">
        <v>46132</v>
      </c>
      <c r="C168" t="s">
        <v>17</v>
      </c>
      <c r="D168" t="s">
        <v>9</v>
      </c>
      <c r="E168" t="s">
        <v>15</v>
      </c>
      <c r="F168">
        <v>7</v>
      </c>
      <c r="G168" s="3">
        <v>45</v>
      </c>
      <c r="H168" s="3">
        <v>21</v>
      </c>
      <c r="I168" t="str">
        <f t="shared" si="12"/>
        <v>Padel Bag</v>
      </c>
      <c r="J168" t="str">
        <f t="shared" si="13"/>
        <v>Barcelona</v>
      </c>
      <c r="L168" s="7">
        <f t="shared" si="14"/>
        <v>315</v>
      </c>
      <c r="M168" s="7">
        <f t="shared" si="15"/>
        <v>147</v>
      </c>
      <c r="N168" s="7">
        <f t="shared" si="16"/>
        <v>168</v>
      </c>
      <c r="O168" s="8">
        <f t="shared" si="17"/>
        <v>0.53333333333333333</v>
      </c>
    </row>
    <row r="169" spans="1:15" x14ac:dyDescent="0.2">
      <c r="A169">
        <v>10168</v>
      </c>
      <c r="B169" s="2">
        <v>46190</v>
      </c>
      <c r="C169" t="s">
        <v>18</v>
      </c>
      <c r="D169" t="s">
        <v>9</v>
      </c>
      <c r="E169" t="s">
        <v>12</v>
      </c>
      <c r="F169">
        <v>7</v>
      </c>
      <c r="G169" s="3">
        <v>8</v>
      </c>
      <c r="H169" s="3">
        <v>3</v>
      </c>
      <c r="I169" t="str">
        <f t="shared" si="12"/>
        <v>Padel Balls</v>
      </c>
      <c r="J169" t="str">
        <f t="shared" si="13"/>
        <v>Valencia</v>
      </c>
      <c r="L169" s="7">
        <f t="shared" si="14"/>
        <v>56</v>
      </c>
      <c r="M169" s="7">
        <f t="shared" si="15"/>
        <v>21</v>
      </c>
      <c r="N169" s="7">
        <f t="shared" si="16"/>
        <v>35</v>
      </c>
      <c r="O169" s="8">
        <f t="shared" si="17"/>
        <v>0.625</v>
      </c>
    </row>
    <row r="170" spans="1:15" x14ac:dyDescent="0.2">
      <c r="A170">
        <v>10169</v>
      </c>
      <c r="B170" s="2">
        <v>46284</v>
      </c>
      <c r="C170" t="s">
        <v>8</v>
      </c>
      <c r="D170" t="s">
        <v>9</v>
      </c>
      <c r="E170" t="s">
        <v>15</v>
      </c>
      <c r="F170">
        <v>6</v>
      </c>
      <c r="G170" s="3">
        <v>6</v>
      </c>
      <c r="H170" s="3">
        <v>2</v>
      </c>
      <c r="I170" t="str">
        <f t="shared" si="12"/>
        <v>Grip Tape</v>
      </c>
      <c r="J170" t="str">
        <f t="shared" si="13"/>
        <v>Barcelona</v>
      </c>
      <c r="L170" s="7">
        <f t="shared" si="14"/>
        <v>36</v>
      </c>
      <c r="M170" s="7">
        <f t="shared" si="15"/>
        <v>12</v>
      </c>
      <c r="N170" s="7">
        <f t="shared" si="16"/>
        <v>24</v>
      </c>
      <c r="O170" s="8">
        <f t="shared" si="17"/>
        <v>0.66666666666666663</v>
      </c>
    </row>
    <row r="171" spans="1:15" x14ac:dyDescent="0.2">
      <c r="A171">
        <v>10170</v>
      </c>
      <c r="B171" s="2">
        <v>46190</v>
      </c>
      <c r="C171" t="s">
        <v>16</v>
      </c>
      <c r="D171" t="s">
        <v>14</v>
      </c>
      <c r="E171" t="s">
        <v>12</v>
      </c>
      <c r="F171">
        <v>5</v>
      </c>
      <c r="G171" s="3">
        <v>120</v>
      </c>
      <c r="H171" s="3">
        <v>72</v>
      </c>
      <c r="I171" t="str">
        <f t="shared" si="12"/>
        <v>Padel Racket</v>
      </c>
      <c r="J171" t="str">
        <f t="shared" si="13"/>
        <v>Valencia</v>
      </c>
      <c r="L171" s="7">
        <f t="shared" si="14"/>
        <v>600</v>
      </c>
      <c r="M171" s="7">
        <f t="shared" si="15"/>
        <v>360</v>
      </c>
      <c r="N171" s="7">
        <f t="shared" si="16"/>
        <v>240</v>
      </c>
      <c r="O171" s="8">
        <f t="shared" si="17"/>
        <v>0.4</v>
      </c>
    </row>
    <row r="172" spans="1:15" x14ac:dyDescent="0.2">
      <c r="A172">
        <v>10171</v>
      </c>
      <c r="B172" s="2">
        <v>46270</v>
      </c>
      <c r="C172" t="s">
        <v>8</v>
      </c>
      <c r="D172" t="s">
        <v>9</v>
      </c>
      <c r="E172" t="s">
        <v>12</v>
      </c>
      <c r="F172">
        <v>3</v>
      </c>
      <c r="G172" s="3">
        <v>6</v>
      </c>
      <c r="H172" s="3">
        <v>2</v>
      </c>
      <c r="I172" t="str">
        <f t="shared" si="12"/>
        <v>Grip Tape</v>
      </c>
      <c r="J172" t="str">
        <f t="shared" si="13"/>
        <v>Valencia</v>
      </c>
      <c r="L172" s="7">
        <f t="shared" si="14"/>
        <v>18</v>
      </c>
      <c r="M172" s="7">
        <f t="shared" si="15"/>
        <v>6</v>
      </c>
      <c r="N172" s="7">
        <f t="shared" si="16"/>
        <v>12</v>
      </c>
      <c r="O172" s="8">
        <f t="shared" si="17"/>
        <v>0.66666666666666663</v>
      </c>
    </row>
    <row r="173" spans="1:15" x14ac:dyDescent="0.2">
      <c r="A173">
        <v>10172</v>
      </c>
      <c r="B173" s="2">
        <v>46197</v>
      </c>
      <c r="C173" t="s">
        <v>16</v>
      </c>
      <c r="D173" t="s">
        <v>14</v>
      </c>
      <c r="E173" t="s">
        <v>15</v>
      </c>
      <c r="F173">
        <v>7</v>
      </c>
      <c r="G173" s="3">
        <v>120</v>
      </c>
      <c r="H173" s="3">
        <v>72</v>
      </c>
      <c r="I173" t="str">
        <f t="shared" si="12"/>
        <v>Padel Racket</v>
      </c>
      <c r="J173" t="str">
        <f t="shared" si="13"/>
        <v>Barcelona</v>
      </c>
      <c r="L173" s="7">
        <f t="shared" si="14"/>
        <v>840</v>
      </c>
      <c r="M173" s="7">
        <f t="shared" si="15"/>
        <v>504</v>
      </c>
      <c r="N173" s="7">
        <f t="shared" si="16"/>
        <v>336</v>
      </c>
      <c r="O173" s="8">
        <f t="shared" si="17"/>
        <v>0.4</v>
      </c>
    </row>
    <row r="174" spans="1:15" x14ac:dyDescent="0.2">
      <c r="A174">
        <v>10173</v>
      </c>
      <c r="B174" s="2">
        <v>46289</v>
      </c>
      <c r="C174" t="s">
        <v>13</v>
      </c>
      <c r="D174" t="s">
        <v>14</v>
      </c>
      <c r="E174" t="s">
        <v>12</v>
      </c>
      <c r="F174">
        <v>7</v>
      </c>
      <c r="G174" s="3">
        <v>190</v>
      </c>
      <c r="H174" s="3">
        <v>112</v>
      </c>
      <c r="I174" t="str">
        <f t="shared" si="12"/>
        <v>Premium Racket</v>
      </c>
      <c r="J174" t="str">
        <f t="shared" si="13"/>
        <v>Valencia</v>
      </c>
      <c r="L174" s="7">
        <f t="shared" si="14"/>
        <v>1330</v>
      </c>
      <c r="M174" s="7">
        <f t="shared" si="15"/>
        <v>784</v>
      </c>
      <c r="N174" s="7">
        <f t="shared" si="16"/>
        <v>546</v>
      </c>
      <c r="O174" s="8">
        <f t="shared" si="17"/>
        <v>0.41052631578947368</v>
      </c>
    </row>
    <row r="175" spans="1:15" x14ac:dyDescent="0.2">
      <c r="A175">
        <v>10174</v>
      </c>
      <c r="B175" s="2">
        <v>46295</v>
      </c>
      <c r="C175" t="s">
        <v>8</v>
      </c>
      <c r="D175" t="s">
        <v>9</v>
      </c>
      <c r="E175" t="s">
        <v>10</v>
      </c>
      <c r="F175">
        <v>5</v>
      </c>
      <c r="G175" s="3">
        <v>6</v>
      </c>
      <c r="H175" s="3">
        <v>2</v>
      </c>
      <c r="I175" t="str">
        <f t="shared" si="12"/>
        <v>Grip Tape</v>
      </c>
      <c r="J175" t="str">
        <f t="shared" si="13"/>
        <v>Madrid</v>
      </c>
      <c r="L175" s="7">
        <f t="shared" si="14"/>
        <v>30</v>
      </c>
      <c r="M175" s="7">
        <f t="shared" si="15"/>
        <v>10</v>
      </c>
      <c r="N175" s="7">
        <f t="shared" si="16"/>
        <v>20</v>
      </c>
      <c r="O175" s="8">
        <f t="shared" si="17"/>
        <v>0.66666666666666663</v>
      </c>
    </row>
    <row r="176" spans="1:15" x14ac:dyDescent="0.2">
      <c r="A176">
        <v>10175</v>
      </c>
      <c r="B176" s="2">
        <v>46065</v>
      </c>
      <c r="C176" t="s">
        <v>18</v>
      </c>
      <c r="D176" t="s">
        <v>9</v>
      </c>
      <c r="E176" t="s">
        <v>21</v>
      </c>
      <c r="F176">
        <v>4</v>
      </c>
      <c r="G176" s="3">
        <v>8</v>
      </c>
      <c r="H176" s="3">
        <v>3</v>
      </c>
      <c r="I176" t="str">
        <f t="shared" si="12"/>
        <v>Padel Balls</v>
      </c>
      <c r="J176" t="str">
        <f t="shared" si="13"/>
        <v>Seville</v>
      </c>
      <c r="L176" s="7">
        <f t="shared" si="14"/>
        <v>32</v>
      </c>
      <c r="M176" s="7">
        <f t="shared" si="15"/>
        <v>12</v>
      </c>
      <c r="N176" s="7">
        <f t="shared" si="16"/>
        <v>20</v>
      </c>
      <c r="O176" s="8">
        <f t="shared" si="17"/>
        <v>0.625</v>
      </c>
    </row>
    <row r="177" spans="1:15" x14ac:dyDescent="0.2">
      <c r="A177">
        <v>10176</v>
      </c>
      <c r="B177" s="2">
        <v>46153</v>
      </c>
      <c r="C177" t="s">
        <v>25</v>
      </c>
      <c r="D177" t="s">
        <v>20</v>
      </c>
      <c r="E177" t="s">
        <v>10</v>
      </c>
      <c r="F177">
        <v>4</v>
      </c>
      <c r="G177" s="3">
        <v>35</v>
      </c>
      <c r="H177" s="3">
        <v>16</v>
      </c>
      <c r="I177" t="str">
        <f t="shared" si="12"/>
        <v>Padel Shirt</v>
      </c>
      <c r="J177" t="str">
        <f t="shared" si="13"/>
        <v>Madrid</v>
      </c>
      <c r="L177" s="7">
        <f t="shared" si="14"/>
        <v>140</v>
      </c>
      <c r="M177" s="7">
        <f t="shared" si="15"/>
        <v>64</v>
      </c>
      <c r="N177" s="7">
        <f t="shared" si="16"/>
        <v>76</v>
      </c>
      <c r="O177" s="8">
        <f t="shared" si="17"/>
        <v>0.54285714285714282</v>
      </c>
    </row>
    <row r="178" spans="1:15" x14ac:dyDescent="0.2">
      <c r="A178">
        <v>10177</v>
      </c>
      <c r="B178" s="2">
        <v>46188</v>
      </c>
      <c r="C178" t="s">
        <v>8</v>
      </c>
      <c r="D178" t="s">
        <v>9</v>
      </c>
      <c r="E178" t="s">
        <v>10</v>
      </c>
      <c r="F178">
        <v>5</v>
      </c>
      <c r="G178" s="3">
        <v>6</v>
      </c>
      <c r="H178" s="3">
        <v>2</v>
      </c>
      <c r="I178" t="str">
        <f t="shared" si="12"/>
        <v>Grip Tape</v>
      </c>
      <c r="J178" t="str">
        <f t="shared" si="13"/>
        <v>Madrid</v>
      </c>
      <c r="L178" s="7">
        <f t="shared" si="14"/>
        <v>30</v>
      </c>
      <c r="M178" s="7">
        <f t="shared" si="15"/>
        <v>10</v>
      </c>
      <c r="N178" s="7">
        <f t="shared" si="16"/>
        <v>20</v>
      </c>
      <c r="O178" s="8">
        <f t="shared" si="17"/>
        <v>0.66666666666666663</v>
      </c>
    </row>
    <row r="179" spans="1:15" x14ac:dyDescent="0.2">
      <c r="A179">
        <v>10178</v>
      </c>
      <c r="B179" s="2">
        <v>46164</v>
      </c>
      <c r="C179" t="s">
        <v>18</v>
      </c>
      <c r="D179" t="s">
        <v>9</v>
      </c>
      <c r="E179" t="s">
        <v>10</v>
      </c>
      <c r="F179">
        <v>3</v>
      </c>
      <c r="G179" s="3">
        <v>8</v>
      </c>
      <c r="H179" s="3">
        <v>3</v>
      </c>
      <c r="I179" t="str">
        <f t="shared" si="12"/>
        <v>Padel Balls</v>
      </c>
      <c r="J179" t="str">
        <f t="shared" si="13"/>
        <v>Madrid</v>
      </c>
      <c r="L179" s="7">
        <f t="shared" si="14"/>
        <v>24</v>
      </c>
      <c r="M179" s="7">
        <f t="shared" si="15"/>
        <v>9</v>
      </c>
      <c r="N179" s="7">
        <f t="shared" si="16"/>
        <v>15</v>
      </c>
      <c r="O179" s="8">
        <f t="shared" si="17"/>
        <v>0.625</v>
      </c>
    </row>
    <row r="180" spans="1:15" x14ac:dyDescent="0.2">
      <c r="A180">
        <v>10179</v>
      </c>
      <c r="B180" s="2">
        <v>46141</v>
      </c>
      <c r="C180" t="s">
        <v>8</v>
      </c>
      <c r="D180" t="s">
        <v>9</v>
      </c>
      <c r="E180" t="s">
        <v>21</v>
      </c>
      <c r="F180">
        <v>1</v>
      </c>
      <c r="G180" s="3">
        <v>6</v>
      </c>
      <c r="H180" s="3">
        <v>2</v>
      </c>
      <c r="I180" t="str">
        <f t="shared" si="12"/>
        <v>Grip Tape</v>
      </c>
      <c r="J180" t="str">
        <f t="shared" si="13"/>
        <v>Seville</v>
      </c>
      <c r="L180" s="7">
        <f t="shared" si="14"/>
        <v>6</v>
      </c>
      <c r="M180" s="7">
        <f t="shared" si="15"/>
        <v>2</v>
      </c>
      <c r="N180" s="7">
        <f t="shared" si="16"/>
        <v>4</v>
      </c>
      <c r="O180" s="8">
        <f t="shared" si="17"/>
        <v>0.66666666666666663</v>
      </c>
    </row>
    <row r="181" spans="1:15" x14ac:dyDescent="0.2">
      <c r="A181">
        <v>10180</v>
      </c>
      <c r="B181" s="2">
        <v>46071</v>
      </c>
      <c r="C181" t="s">
        <v>23</v>
      </c>
      <c r="D181" t="s">
        <v>20</v>
      </c>
      <c r="E181" t="s">
        <v>12</v>
      </c>
      <c r="F181">
        <v>7</v>
      </c>
      <c r="G181" s="3">
        <v>90</v>
      </c>
      <c r="H181" s="3">
        <v>49</v>
      </c>
      <c r="I181" t="str">
        <f t="shared" si="12"/>
        <v>Padel Shoes</v>
      </c>
      <c r="J181" t="str">
        <f t="shared" si="13"/>
        <v>Valencia</v>
      </c>
      <c r="L181" s="7">
        <f t="shared" si="14"/>
        <v>630</v>
      </c>
      <c r="M181" s="7">
        <f t="shared" si="15"/>
        <v>343</v>
      </c>
      <c r="N181" s="7">
        <f t="shared" si="16"/>
        <v>287</v>
      </c>
      <c r="O181" s="8">
        <f t="shared" si="17"/>
        <v>0.45555555555555555</v>
      </c>
    </row>
    <row r="182" spans="1:15" x14ac:dyDescent="0.2">
      <c r="A182">
        <v>10181</v>
      </c>
      <c r="B182" s="2">
        <v>46212</v>
      </c>
      <c r="C182" t="s">
        <v>23</v>
      </c>
      <c r="D182" t="s">
        <v>20</v>
      </c>
      <c r="E182" t="s">
        <v>10</v>
      </c>
      <c r="F182">
        <v>7</v>
      </c>
      <c r="G182" s="3">
        <v>90</v>
      </c>
      <c r="H182" s="3">
        <v>49</v>
      </c>
      <c r="I182" t="str">
        <f t="shared" si="12"/>
        <v>Padel Shoes</v>
      </c>
      <c r="J182" t="str">
        <f t="shared" si="13"/>
        <v>Madrid</v>
      </c>
      <c r="L182" s="7">
        <f t="shared" si="14"/>
        <v>630</v>
      </c>
      <c r="M182" s="7">
        <f t="shared" si="15"/>
        <v>343</v>
      </c>
      <c r="N182" s="7">
        <f t="shared" si="16"/>
        <v>287</v>
      </c>
      <c r="O182" s="8">
        <f t="shared" si="17"/>
        <v>0.45555555555555555</v>
      </c>
    </row>
    <row r="183" spans="1:15" x14ac:dyDescent="0.2">
      <c r="A183">
        <v>10182</v>
      </c>
      <c r="B183" s="2">
        <v>46034</v>
      </c>
      <c r="C183" t="s">
        <v>18</v>
      </c>
      <c r="D183" t="s">
        <v>9</v>
      </c>
      <c r="E183" t="s">
        <v>12</v>
      </c>
      <c r="F183">
        <v>4</v>
      </c>
      <c r="G183" s="3">
        <v>8</v>
      </c>
      <c r="H183" s="3">
        <v>3</v>
      </c>
      <c r="I183" t="str">
        <f t="shared" si="12"/>
        <v>Padel Balls</v>
      </c>
      <c r="J183" t="str">
        <f t="shared" si="13"/>
        <v>Valencia</v>
      </c>
      <c r="L183" s="7">
        <f t="shared" si="14"/>
        <v>32</v>
      </c>
      <c r="M183" s="7">
        <f t="shared" si="15"/>
        <v>12</v>
      </c>
      <c r="N183" s="7">
        <f t="shared" si="16"/>
        <v>20</v>
      </c>
      <c r="O183" s="8">
        <f t="shared" si="17"/>
        <v>0.625</v>
      </c>
    </row>
    <row r="184" spans="1:15" x14ac:dyDescent="0.2">
      <c r="A184">
        <v>10183</v>
      </c>
      <c r="B184" s="2">
        <v>46285</v>
      </c>
      <c r="C184" t="s">
        <v>16</v>
      </c>
      <c r="D184" t="s">
        <v>14</v>
      </c>
      <c r="E184" t="s">
        <v>21</v>
      </c>
      <c r="F184">
        <v>6</v>
      </c>
      <c r="G184" s="3">
        <v>120</v>
      </c>
      <c r="H184" s="3">
        <v>72</v>
      </c>
      <c r="I184" t="str">
        <f t="shared" si="12"/>
        <v>Padel Racket</v>
      </c>
      <c r="J184" t="str">
        <f t="shared" si="13"/>
        <v>Seville</v>
      </c>
      <c r="L184" s="7">
        <f t="shared" si="14"/>
        <v>720</v>
      </c>
      <c r="M184" s="7">
        <f t="shared" si="15"/>
        <v>432</v>
      </c>
      <c r="N184" s="7">
        <f t="shared" si="16"/>
        <v>288</v>
      </c>
      <c r="O184" s="8">
        <f t="shared" si="17"/>
        <v>0.4</v>
      </c>
    </row>
    <row r="185" spans="1:15" x14ac:dyDescent="0.2">
      <c r="A185">
        <v>10184</v>
      </c>
      <c r="B185" s="2">
        <v>46189</v>
      </c>
      <c r="C185" t="s">
        <v>13</v>
      </c>
      <c r="D185" t="s">
        <v>14</v>
      </c>
      <c r="E185" t="s">
        <v>12</v>
      </c>
      <c r="F185">
        <v>3</v>
      </c>
      <c r="G185" s="3">
        <v>190</v>
      </c>
      <c r="H185" s="3">
        <v>112</v>
      </c>
      <c r="I185" t="str">
        <f t="shared" si="12"/>
        <v>Premium Racket</v>
      </c>
      <c r="J185" t="str">
        <f t="shared" si="13"/>
        <v>Valencia</v>
      </c>
      <c r="L185" s="7">
        <f t="shared" si="14"/>
        <v>570</v>
      </c>
      <c r="M185" s="7">
        <f t="shared" si="15"/>
        <v>336</v>
      </c>
      <c r="N185" s="7">
        <f t="shared" si="16"/>
        <v>234</v>
      </c>
      <c r="O185" s="8">
        <f t="shared" si="17"/>
        <v>0.41052631578947368</v>
      </c>
    </row>
    <row r="186" spans="1:15" x14ac:dyDescent="0.2">
      <c r="A186">
        <v>10185</v>
      </c>
      <c r="B186" s="2">
        <v>46231</v>
      </c>
      <c r="C186" t="s">
        <v>25</v>
      </c>
      <c r="D186" t="s">
        <v>20</v>
      </c>
      <c r="E186" t="s">
        <v>10</v>
      </c>
      <c r="F186">
        <v>6</v>
      </c>
      <c r="G186" s="3">
        <v>35</v>
      </c>
      <c r="H186" s="3">
        <v>16</v>
      </c>
      <c r="I186" t="str">
        <f t="shared" si="12"/>
        <v>Padel Shirt</v>
      </c>
      <c r="J186" t="str">
        <f t="shared" si="13"/>
        <v>Madrid</v>
      </c>
      <c r="L186" s="7">
        <f t="shared" si="14"/>
        <v>210</v>
      </c>
      <c r="M186" s="7">
        <f t="shared" si="15"/>
        <v>96</v>
      </c>
      <c r="N186" s="7">
        <f t="shared" si="16"/>
        <v>114</v>
      </c>
      <c r="O186" s="8">
        <f t="shared" si="17"/>
        <v>0.54285714285714282</v>
      </c>
    </row>
    <row r="187" spans="1:15" x14ac:dyDescent="0.2">
      <c r="A187">
        <v>10186</v>
      </c>
      <c r="B187" s="2">
        <v>46242</v>
      </c>
      <c r="C187" t="s">
        <v>16</v>
      </c>
      <c r="D187" t="s">
        <v>14</v>
      </c>
      <c r="E187" t="s">
        <v>21</v>
      </c>
      <c r="F187">
        <v>8</v>
      </c>
      <c r="G187" s="3">
        <v>120</v>
      </c>
      <c r="H187" s="3">
        <v>72</v>
      </c>
      <c r="I187" t="str">
        <f t="shared" si="12"/>
        <v>Padel Racket</v>
      </c>
      <c r="J187" t="str">
        <f t="shared" si="13"/>
        <v>Seville</v>
      </c>
      <c r="L187" s="7">
        <f t="shared" si="14"/>
        <v>960</v>
      </c>
      <c r="M187" s="7">
        <f t="shared" si="15"/>
        <v>576</v>
      </c>
      <c r="N187" s="7">
        <f t="shared" si="16"/>
        <v>384</v>
      </c>
      <c r="O187" s="8">
        <f t="shared" si="17"/>
        <v>0.4</v>
      </c>
    </row>
    <row r="188" spans="1:15" x14ac:dyDescent="0.2">
      <c r="A188">
        <v>10187</v>
      </c>
      <c r="B188" s="2">
        <v>46055</v>
      </c>
      <c r="C188" t="s">
        <v>17</v>
      </c>
      <c r="D188" t="s">
        <v>9</v>
      </c>
      <c r="E188" t="s">
        <v>15</v>
      </c>
      <c r="F188">
        <v>7</v>
      </c>
      <c r="G188" s="3">
        <v>45</v>
      </c>
      <c r="H188" s="3">
        <v>21</v>
      </c>
      <c r="I188" t="str">
        <f t="shared" si="12"/>
        <v>Padel Bag</v>
      </c>
      <c r="J188" t="str">
        <f t="shared" si="13"/>
        <v>Barcelona</v>
      </c>
      <c r="L188" s="7">
        <f t="shared" si="14"/>
        <v>315</v>
      </c>
      <c r="M188" s="7">
        <f t="shared" si="15"/>
        <v>147</v>
      </c>
      <c r="N188" s="7">
        <f t="shared" si="16"/>
        <v>168</v>
      </c>
      <c r="O188" s="8">
        <f t="shared" si="17"/>
        <v>0.53333333333333333</v>
      </c>
    </row>
    <row r="189" spans="1:15" x14ac:dyDescent="0.2">
      <c r="A189">
        <v>10188</v>
      </c>
      <c r="B189" s="2">
        <v>46253</v>
      </c>
      <c r="C189" t="s">
        <v>13</v>
      </c>
      <c r="D189" t="s">
        <v>14</v>
      </c>
      <c r="E189" t="s">
        <v>12</v>
      </c>
      <c r="F189">
        <v>5</v>
      </c>
      <c r="G189" s="3">
        <v>190</v>
      </c>
      <c r="H189" s="3">
        <v>112</v>
      </c>
      <c r="I189" t="str">
        <f t="shared" si="12"/>
        <v>Premium Racket</v>
      </c>
      <c r="J189" t="str">
        <f t="shared" si="13"/>
        <v>Valencia</v>
      </c>
      <c r="L189" s="7">
        <f t="shared" si="14"/>
        <v>950</v>
      </c>
      <c r="M189" s="7">
        <f t="shared" si="15"/>
        <v>560</v>
      </c>
      <c r="N189" s="7">
        <f t="shared" si="16"/>
        <v>390</v>
      </c>
      <c r="O189" s="8">
        <f t="shared" si="17"/>
        <v>0.41052631578947368</v>
      </c>
    </row>
    <row r="190" spans="1:15" x14ac:dyDescent="0.2">
      <c r="A190">
        <v>10189</v>
      </c>
      <c r="B190" s="2">
        <v>46290</v>
      </c>
      <c r="C190" t="s">
        <v>11</v>
      </c>
      <c r="D190" t="s">
        <v>9</v>
      </c>
      <c r="E190" t="s">
        <v>15</v>
      </c>
      <c r="F190">
        <v>2</v>
      </c>
      <c r="G190" s="3">
        <v>12</v>
      </c>
      <c r="H190" s="3">
        <v>4</v>
      </c>
      <c r="I190" t="str">
        <f t="shared" si="12"/>
        <v>Wristband</v>
      </c>
      <c r="J190" t="str">
        <f t="shared" si="13"/>
        <v>Barcelona</v>
      </c>
      <c r="L190" s="7">
        <f t="shared" si="14"/>
        <v>24</v>
      </c>
      <c r="M190" s="7">
        <f t="shared" si="15"/>
        <v>8</v>
      </c>
      <c r="N190" s="7">
        <f t="shared" si="16"/>
        <v>16</v>
      </c>
      <c r="O190" s="8">
        <f t="shared" si="17"/>
        <v>0.66666666666666663</v>
      </c>
    </row>
    <row r="191" spans="1:15" x14ac:dyDescent="0.2">
      <c r="A191">
        <v>10190</v>
      </c>
      <c r="B191" s="2">
        <v>46102</v>
      </c>
      <c r="C191" t="s">
        <v>18</v>
      </c>
      <c r="D191" t="s">
        <v>9</v>
      </c>
      <c r="E191" t="s">
        <v>12</v>
      </c>
      <c r="F191">
        <v>4</v>
      </c>
      <c r="G191" s="3">
        <v>8</v>
      </c>
      <c r="H191" s="3">
        <v>3</v>
      </c>
      <c r="I191" t="str">
        <f t="shared" si="12"/>
        <v>Padel Balls</v>
      </c>
      <c r="J191" t="str">
        <f t="shared" si="13"/>
        <v>Valencia</v>
      </c>
      <c r="L191" s="7">
        <f t="shared" si="14"/>
        <v>32</v>
      </c>
      <c r="M191" s="7">
        <f t="shared" si="15"/>
        <v>12</v>
      </c>
      <c r="N191" s="7">
        <f t="shared" si="16"/>
        <v>20</v>
      </c>
      <c r="O191" s="8">
        <f t="shared" si="17"/>
        <v>0.625</v>
      </c>
    </row>
    <row r="192" spans="1:15" x14ac:dyDescent="0.2">
      <c r="A192">
        <v>10191</v>
      </c>
      <c r="B192" s="2">
        <v>46089</v>
      </c>
      <c r="C192" t="s">
        <v>18</v>
      </c>
      <c r="D192" t="s">
        <v>9</v>
      </c>
      <c r="E192" t="s">
        <v>12</v>
      </c>
      <c r="F192">
        <v>8</v>
      </c>
      <c r="G192" s="3">
        <v>8</v>
      </c>
      <c r="H192" s="3">
        <v>3</v>
      </c>
      <c r="I192" t="str">
        <f t="shared" si="12"/>
        <v>Padel Balls</v>
      </c>
      <c r="J192" t="str">
        <f t="shared" si="13"/>
        <v>Valencia</v>
      </c>
      <c r="L192" s="7">
        <f t="shared" si="14"/>
        <v>64</v>
      </c>
      <c r="M192" s="7">
        <f t="shared" si="15"/>
        <v>24</v>
      </c>
      <c r="N192" s="7">
        <f t="shared" si="16"/>
        <v>40</v>
      </c>
      <c r="O192" s="8">
        <f t="shared" si="17"/>
        <v>0.625</v>
      </c>
    </row>
    <row r="193" spans="1:15" x14ac:dyDescent="0.2">
      <c r="A193">
        <v>10192</v>
      </c>
      <c r="B193" s="2">
        <v>46241</v>
      </c>
      <c r="C193" t="s">
        <v>11</v>
      </c>
      <c r="D193" t="s">
        <v>9</v>
      </c>
      <c r="E193" t="s">
        <v>15</v>
      </c>
      <c r="F193">
        <v>4</v>
      </c>
      <c r="G193" s="3">
        <v>12</v>
      </c>
      <c r="H193" s="3">
        <v>4</v>
      </c>
      <c r="I193" t="str">
        <f t="shared" si="12"/>
        <v>Wristband</v>
      </c>
      <c r="J193" t="str">
        <f t="shared" si="13"/>
        <v>Barcelona</v>
      </c>
      <c r="L193" s="7">
        <f t="shared" si="14"/>
        <v>48</v>
      </c>
      <c r="M193" s="7">
        <f t="shared" si="15"/>
        <v>16</v>
      </c>
      <c r="N193" s="7">
        <f t="shared" si="16"/>
        <v>32</v>
      </c>
      <c r="O193" s="8">
        <f t="shared" si="17"/>
        <v>0.66666666666666663</v>
      </c>
    </row>
    <row r="194" spans="1:15" x14ac:dyDescent="0.2">
      <c r="A194">
        <v>10193</v>
      </c>
      <c r="B194" s="2">
        <v>46261</v>
      </c>
      <c r="C194" t="s">
        <v>17</v>
      </c>
      <c r="D194" t="s">
        <v>9</v>
      </c>
      <c r="E194" t="s">
        <v>15</v>
      </c>
      <c r="F194">
        <v>2</v>
      </c>
      <c r="G194" s="3">
        <v>45</v>
      </c>
      <c r="H194" s="3">
        <v>21</v>
      </c>
      <c r="I194" t="str">
        <f t="shared" si="12"/>
        <v>Padel Bag</v>
      </c>
      <c r="J194" t="str">
        <f t="shared" si="13"/>
        <v>Barcelona</v>
      </c>
      <c r="L194" s="7">
        <f t="shared" si="14"/>
        <v>90</v>
      </c>
      <c r="M194" s="7">
        <f t="shared" si="15"/>
        <v>42</v>
      </c>
      <c r="N194" s="7">
        <f t="shared" si="16"/>
        <v>48</v>
      </c>
      <c r="O194" s="8">
        <f t="shared" si="17"/>
        <v>0.53333333333333333</v>
      </c>
    </row>
    <row r="195" spans="1:15" x14ac:dyDescent="0.2">
      <c r="A195">
        <v>10194</v>
      </c>
      <c r="B195" s="2">
        <v>46060</v>
      </c>
      <c r="C195" t="s">
        <v>23</v>
      </c>
      <c r="D195" t="s">
        <v>20</v>
      </c>
      <c r="E195" t="s">
        <v>21</v>
      </c>
      <c r="F195">
        <v>2</v>
      </c>
      <c r="G195" s="3">
        <v>90</v>
      </c>
      <c r="H195" s="3">
        <v>49</v>
      </c>
      <c r="I195" t="str">
        <f t="shared" ref="I195:I201" si="18">PROPER(TRIM(C195))</f>
        <v>Padel Shoes</v>
      </c>
      <c r="J195" t="str">
        <f t="shared" ref="J195:J201" si="19">PROPER(TRIM(E195))</f>
        <v>Seville</v>
      </c>
      <c r="L195" s="7">
        <f t="shared" ref="L195:L201" si="20">F195*G195</f>
        <v>180</v>
      </c>
      <c r="M195" s="7">
        <f t="shared" ref="M195:M201" si="21">F195*H195</f>
        <v>98</v>
      </c>
      <c r="N195" s="7">
        <f t="shared" ref="N195:N201" si="22">L195-M195</f>
        <v>82</v>
      </c>
      <c r="O195" s="8">
        <f t="shared" ref="O195:O201" si="23">IF(L195=0,0,(N195/L195))</f>
        <v>0.45555555555555555</v>
      </c>
    </row>
    <row r="196" spans="1:15" x14ac:dyDescent="0.2">
      <c r="A196">
        <v>10195</v>
      </c>
      <c r="B196" s="2">
        <v>46122</v>
      </c>
      <c r="C196" t="s">
        <v>13</v>
      </c>
      <c r="D196" t="s">
        <v>14</v>
      </c>
      <c r="E196" t="s">
        <v>10</v>
      </c>
      <c r="F196">
        <v>1</v>
      </c>
      <c r="G196" s="3">
        <v>190</v>
      </c>
      <c r="H196" s="3">
        <v>112</v>
      </c>
      <c r="I196" t="str">
        <f t="shared" si="18"/>
        <v>Premium Racket</v>
      </c>
      <c r="J196" t="str">
        <f t="shared" si="19"/>
        <v>Madrid</v>
      </c>
      <c r="L196" s="7">
        <f t="shared" si="20"/>
        <v>190</v>
      </c>
      <c r="M196" s="7">
        <f t="shared" si="21"/>
        <v>112</v>
      </c>
      <c r="N196" s="7">
        <f t="shared" si="22"/>
        <v>78</v>
      </c>
      <c r="O196" s="8">
        <f t="shared" si="23"/>
        <v>0.41052631578947368</v>
      </c>
    </row>
    <row r="197" spans="1:15" x14ac:dyDescent="0.2">
      <c r="A197">
        <v>10196</v>
      </c>
      <c r="B197" s="2">
        <v>46055</v>
      </c>
      <c r="C197" t="s">
        <v>23</v>
      </c>
      <c r="D197" t="s">
        <v>20</v>
      </c>
      <c r="E197" t="s">
        <v>21</v>
      </c>
      <c r="F197">
        <v>4</v>
      </c>
      <c r="G197" s="3">
        <v>90</v>
      </c>
      <c r="H197" s="3">
        <v>49</v>
      </c>
      <c r="I197" t="str">
        <f t="shared" si="18"/>
        <v>Padel Shoes</v>
      </c>
      <c r="J197" t="str">
        <f t="shared" si="19"/>
        <v>Seville</v>
      </c>
      <c r="L197" s="7">
        <f t="shared" si="20"/>
        <v>360</v>
      </c>
      <c r="M197" s="7">
        <f t="shared" si="21"/>
        <v>196</v>
      </c>
      <c r="N197" s="7">
        <f t="shared" si="22"/>
        <v>164</v>
      </c>
      <c r="O197" s="8">
        <f t="shared" si="23"/>
        <v>0.45555555555555555</v>
      </c>
    </row>
    <row r="198" spans="1:15" x14ac:dyDescent="0.2">
      <c r="A198">
        <v>10197</v>
      </c>
      <c r="B198" s="2">
        <v>46230</v>
      </c>
      <c r="C198" t="s">
        <v>18</v>
      </c>
      <c r="D198" t="s">
        <v>9</v>
      </c>
      <c r="E198" t="s">
        <v>10</v>
      </c>
      <c r="F198">
        <v>3</v>
      </c>
      <c r="G198" s="3">
        <v>8</v>
      </c>
      <c r="H198" s="3">
        <v>3</v>
      </c>
      <c r="I198" t="str">
        <f t="shared" si="18"/>
        <v>Padel Balls</v>
      </c>
      <c r="J198" t="str">
        <f t="shared" si="19"/>
        <v>Madrid</v>
      </c>
      <c r="L198" s="7">
        <f t="shared" si="20"/>
        <v>24</v>
      </c>
      <c r="M198" s="7">
        <f t="shared" si="21"/>
        <v>9</v>
      </c>
      <c r="N198" s="7">
        <f t="shared" si="22"/>
        <v>15</v>
      </c>
      <c r="O198" s="8">
        <f t="shared" si="23"/>
        <v>0.625</v>
      </c>
    </row>
    <row r="199" spans="1:15" x14ac:dyDescent="0.2">
      <c r="A199">
        <v>10198</v>
      </c>
      <c r="B199" s="2">
        <v>46067</v>
      </c>
      <c r="C199" t="s">
        <v>23</v>
      </c>
      <c r="D199" t="s">
        <v>20</v>
      </c>
      <c r="E199" t="s">
        <v>21</v>
      </c>
      <c r="F199">
        <v>1</v>
      </c>
      <c r="G199" s="3">
        <v>90</v>
      </c>
      <c r="H199" s="3">
        <v>49</v>
      </c>
      <c r="I199" t="str">
        <f t="shared" si="18"/>
        <v>Padel Shoes</v>
      </c>
      <c r="J199" t="str">
        <f t="shared" si="19"/>
        <v>Seville</v>
      </c>
      <c r="L199" s="7">
        <f t="shared" si="20"/>
        <v>90</v>
      </c>
      <c r="M199" s="7">
        <f t="shared" si="21"/>
        <v>49</v>
      </c>
      <c r="N199" s="7">
        <f t="shared" si="22"/>
        <v>41</v>
      </c>
      <c r="O199" s="8">
        <f t="shared" si="23"/>
        <v>0.45555555555555555</v>
      </c>
    </row>
    <row r="200" spans="1:15" x14ac:dyDescent="0.2">
      <c r="A200">
        <v>10199</v>
      </c>
      <c r="B200" s="2">
        <v>46287</v>
      </c>
      <c r="C200" t="s">
        <v>8</v>
      </c>
      <c r="D200" t="s">
        <v>9</v>
      </c>
      <c r="E200" t="s">
        <v>15</v>
      </c>
      <c r="F200">
        <v>7</v>
      </c>
      <c r="G200" s="3">
        <v>6</v>
      </c>
      <c r="H200" s="3">
        <v>2</v>
      </c>
      <c r="I200" t="str">
        <f t="shared" si="18"/>
        <v>Grip Tape</v>
      </c>
      <c r="J200" t="str">
        <f t="shared" si="19"/>
        <v>Barcelona</v>
      </c>
      <c r="L200" s="7">
        <f t="shared" si="20"/>
        <v>42</v>
      </c>
      <c r="M200" s="7">
        <f t="shared" si="21"/>
        <v>14</v>
      </c>
      <c r="N200" s="7">
        <f t="shared" si="22"/>
        <v>28</v>
      </c>
      <c r="O200" s="8">
        <f t="shared" si="23"/>
        <v>0.66666666666666663</v>
      </c>
    </row>
    <row r="201" spans="1:15" x14ac:dyDescent="0.2">
      <c r="A201">
        <v>10200</v>
      </c>
      <c r="B201" s="2">
        <v>46134</v>
      </c>
      <c r="C201" t="s">
        <v>23</v>
      </c>
      <c r="D201" t="s">
        <v>20</v>
      </c>
      <c r="E201" t="s">
        <v>10</v>
      </c>
      <c r="F201">
        <v>3</v>
      </c>
      <c r="G201" s="3">
        <v>90</v>
      </c>
      <c r="H201" s="3">
        <v>49</v>
      </c>
      <c r="I201" t="str">
        <f t="shared" si="18"/>
        <v>Padel Shoes</v>
      </c>
      <c r="J201" t="str">
        <f t="shared" si="19"/>
        <v>Madrid</v>
      </c>
      <c r="L201" s="7">
        <f t="shared" si="20"/>
        <v>270</v>
      </c>
      <c r="M201" s="7">
        <f t="shared" si="21"/>
        <v>147</v>
      </c>
      <c r="N201" s="7">
        <f t="shared" si="22"/>
        <v>123</v>
      </c>
      <c r="O201" s="8">
        <f t="shared" si="23"/>
        <v>0.45555555555555555</v>
      </c>
    </row>
    <row r="202" spans="1:15" x14ac:dyDescent="0.2">
      <c r="L202" s="7"/>
      <c r="M202" s="7"/>
      <c r="N202" s="7"/>
      <c r="O202" s="8"/>
    </row>
  </sheetData>
  <autoFilter ref="A1:H202" xr:uid="{00000000-0009-0000-0000-000000000000}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D78C-6AE3-4141-A7E7-D951978B74E5}">
  <dimension ref="A3:J26"/>
  <sheetViews>
    <sheetView zoomScale="66" workbookViewId="0">
      <selection activeCell="J27" sqref="J27"/>
    </sheetView>
  </sheetViews>
  <sheetFormatPr baseColWidth="10" defaultRowHeight="15" x14ac:dyDescent="0.2"/>
  <cols>
    <col min="1" max="1" width="14.33203125" bestFit="1" customWidth="1"/>
    <col min="2" max="2" width="16.5" bestFit="1" customWidth="1"/>
    <col min="3" max="3" width="19.33203125" bestFit="1" customWidth="1"/>
    <col min="4" max="4" width="14.33203125" bestFit="1" customWidth="1"/>
    <col min="5" max="5" width="19.33203125" bestFit="1" customWidth="1"/>
    <col min="6" max="6" width="16.5" bestFit="1" customWidth="1"/>
    <col min="7" max="7" width="14.33203125" bestFit="1" customWidth="1"/>
    <col min="8" max="8" width="16.5" bestFit="1" customWidth="1"/>
    <col min="10" max="10" width="255.83203125" bestFit="1" customWidth="1"/>
  </cols>
  <sheetData>
    <row r="3" spans="1:10" ht="21" x14ac:dyDescent="0.25">
      <c r="A3" s="9" t="s">
        <v>58</v>
      </c>
      <c r="B3" t="s">
        <v>60</v>
      </c>
      <c r="D3" s="9" t="s">
        <v>58</v>
      </c>
      <c r="E3" t="s">
        <v>61</v>
      </c>
      <c r="G3" s="9" t="s">
        <v>58</v>
      </c>
      <c r="H3" t="s">
        <v>60</v>
      </c>
      <c r="J3" s="11"/>
    </row>
    <row r="4" spans="1:10" x14ac:dyDescent="0.2">
      <c r="A4" s="10" t="s">
        <v>12</v>
      </c>
      <c r="B4" s="7">
        <v>17710</v>
      </c>
      <c r="D4" s="10" t="s">
        <v>12</v>
      </c>
      <c r="E4" s="7">
        <v>7862</v>
      </c>
      <c r="G4" s="10" t="s">
        <v>17</v>
      </c>
      <c r="H4" s="7">
        <v>4905</v>
      </c>
    </row>
    <row r="5" spans="1:10" x14ac:dyDescent="0.2">
      <c r="A5" s="10" t="s">
        <v>15</v>
      </c>
      <c r="B5" s="7">
        <v>15571</v>
      </c>
      <c r="D5" s="10" t="s">
        <v>15</v>
      </c>
      <c r="E5" s="7">
        <v>7145</v>
      </c>
      <c r="G5" s="10" t="s">
        <v>25</v>
      </c>
      <c r="H5" s="7">
        <v>5600</v>
      </c>
    </row>
    <row r="6" spans="1:10" x14ac:dyDescent="0.2">
      <c r="A6" s="10" t="s">
        <v>10</v>
      </c>
      <c r="B6" s="7">
        <v>11664</v>
      </c>
      <c r="D6" s="10" t="s">
        <v>10</v>
      </c>
      <c r="E6" s="7">
        <v>5361</v>
      </c>
      <c r="G6" s="10" t="s">
        <v>16</v>
      </c>
      <c r="H6" s="7">
        <v>11640</v>
      </c>
    </row>
    <row r="7" spans="1:10" x14ac:dyDescent="0.2">
      <c r="A7" s="10" t="s">
        <v>21</v>
      </c>
      <c r="B7" s="7">
        <v>10850</v>
      </c>
      <c r="D7" s="10" t="s">
        <v>21</v>
      </c>
      <c r="E7" s="7">
        <v>5014</v>
      </c>
      <c r="G7" s="10" t="s">
        <v>23</v>
      </c>
      <c r="H7" s="7">
        <v>12060</v>
      </c>
    </row>
    <row r="8" spans="1:10" x14ac:dyDescent="0.2">
      <c r="A8" s="10" t="s">
        <v>59</v>
      </c>
      <c r="B8" s="7">
        <v>55795</v>
      </c>
      <c r="D8" s="10" t="s">
        <v>59</v>
      </c>
      <c r="E8" s="7">
        <v>25382</v>
      </c>
      <c r="G8" s="10" t="s">
        <v>13</v>
      </c>
      <c r="H8" s="7">
        <v>18620</v>
      </c>
    </row>
    <row r="11" spans="1:10" x14ac:dyDescent="0.2">
      <c r="A11" s="9" t="s">
        <v>58</v>
      </c>
      <c r="B11" t="s">
        <v>60</v>
      </c>
      <c r="C11" t="s">
        <v>61</v>
      </c>
    </row>
    <row r="12" spans="1:10" x14ac:dyDescent="0.2">
      <c r="A12" s="10" t="s">
        <v>9</v>
      </c>
      <c r="B12" s="7">
        <v>7875</v>
      </c>
      <c r="C12" s="7">
        <v>4548</v>
      </c>
      <c r="D12" s="8">
        <f>C12/B12</f>
        <v>0.57752380952380955</v>
      </c>
      <c r="G12" s="9" t="s">
        <v>58</v>
      </c>
      <c r="H12" t="s">
        <v>60</v>
      </c>
    </row>
    <row r="13" spans="1:10" x14ac:dyDescent="0.2">
      <c r="A13" s="10" t="s">
        <v>20</v>
      </c>
      <c r="B13" s="7">
        <v>17660</v>
      </c>
      <c r="C13" s="7">
        <v>8534</v>
      </c>
      <c r="D13" s="8">
        <f t="shared" ref="D13:D15" si="0">C13/B13</f>
        <v>0.48323895809739525</v>
      </c>
      <c r="G13" s="10" t="s">
        <v>62</v>
      </c>
      <c r="H13" s="7">
        <v>6141</v>
      </c>
    </row>
    <row r="14" spans="1:10" x14ac:dyDescent="0.2">
      <c r="A14" s="10" t="s">
        <v>14</v>
      </c>
      <c r="B14" s="7">
        <v>30260</v>
      </c>
      <c r="C14" s="7">
        <v>12300</v>
      </c>
      <c r="D14" s="8">
        <f t="shared" si="0"/>
        <v>0.40647719762062129</v>
      </c>
      <c r="G14" s="10" t="s">
        <v>63</v>
      </c>
      <c r="H14" s="7">
        <v>6064</v>
      </c>
    </row>
    <row r="15" spans="1:10" x14ac:dyDescent="0.2">
      <c r="A15" s="10" t="s">
        <v>59</v>
      </c>
      <c r="B15" s="7">
        <v>55795</v>
      </c>
      <c r="C15" s="7">
        <v>25382</v>
      </c>
      <c r="D15" s="8">
        <f t="shared" si="0"/>
        <v>0.45491531499238286</v>
      </c>
      <c r="G15" s="10" t="s">
        <v>64</v>
      </c>
      <c r="H15" s="7">
        <v>2431</v>
      </c>
    </row>
    <row r="16" spans="1:10" x14ac:dyDescent="0.2">
      <c r="G16" s="10" t="s">
        <v>65</v>
      </c>
      <c r="H16" s="7">
        <v>5893</v>
      </c>
    </row>
    <row r="17" spans="3:8" x14ac:dyDescent="0.2">
      <c r="G17" s="10" t="s">
        <v>66</v>
      </c>
      <c r="H17" s="7">
        <v>5106</v>
      </c>
    </row>
    <row r="18" spans="3:8" x14ac:dyDescent="0.2">
      <c r="G18" s="10" t="s">
        <v>67</v>
      </c>
      <c r="H18" s="7">
        <v>7760</v>
      </c>
    </row>
    <row r="19" spans="3:8" x14ac:dyDescent="0.2">
      <c r="G19" s="10" t="s">
        <v>68</v>
      </c>
      <c r="H19" s="7">
        <v>7830</v>
      </c>
    </row>
    <row r="20" spans="3:8" x14ac:dyDescent="0.2">
      <c r="G20" s="10" t="s">
        <v>69</v>
      </c>
      <c r="H20" s="7">
        <v>4346</v>
      </c>
    </row>
    <row r="21" spans="3:8" x14ac:dyDescent="0.2">
      <c r="G21" s="10" t="s">
        <v>70</v>
      </c>
      <c r="H21" s="7">
        <v>10224</v>
      </c>
    </row>
    <row r="22" spans="3:8" x14ac:dyDescent="0.2">
      <c r="G22" s="10" t="s">
        <v>59</v>
      </c>
      <c r="H22" s="7">
        <v>55795</v>
      </c>
    </row>
    <row r="26" spans="3:8" x14ac:dyDescent="0.2">
      <c r="C26" s="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9ED9-156A-954F-B3CB-B9C496E037A9}">
  <dimension ref="A1:N61"/>
  <sheetViews>
    <sheetView showGridLines="0" tabSelected="1" zoomScale="60" zoomScaleNormal="60" zoomScalePageLayoutView="50" workbookViewId="0">
      <selection activeCell="O19" sqref="O19"/>
    </sheetView>
  </sheetViews>
  <sheetFormatPr baseColWidth="10" defaultRowHeight="15" x14ac:dyDescent="0.2"/>
  <cols>
    <col min="2" max="2" width="17" bestFit="1" customWidth="1"/>
    <col min="5" max="5" width="16.83203125" bestFit="1" customWidth="1"/>
    <col min="6" max="6" width="17" bestFit="1" customWidth="1"/>
    <col min="8" max="8" width="12" bestFit="1" customWidth="1"/>
    <col min="10" max="10" width="11.5" bestFit="1" customWidth="1"/>
  </cols>
  <sheetData>
    <row r="1" spans="1:14" x14ac:dyDescent="0.2">
      <c r="A1" s="27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7" x14ac:dyDescent="0.2">
      <c r="A4" s="12"/>
      <c r="B4" s="13" t="s">
        <v>77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">
      <c r="A6" s="12"/>
      <c r="B6" s="15" t="s">
        <v>72</v>
      </c>
      <c r="C6" s="14"/>
      <c r="D6" s="12"/>
      <c r="E6" s="15" t="s">
        <v>73</v>
      </c>
      <c r="F6" s="14"/>
      <c r="G6" s="12"/>
      <c r="H6" s="15" t="s">
        <v>74</v>
      </c>
      <c r="I6" s="14"/>
      <c r="J6" s="12"/>
      <c r="K6" s="15" t="s">
        <v>75</v>
      </c>
      <c r="L6" s="14"/>
      <c r="M6" s="12"/>
      <c r="N6" s="12"/>
    </row>
    <row r="7" spans="1:14" ht="26" x14ac:dyDescent="0.3">
      <c r="A7" s="12"/>
      <c r="B7" s="16">
        <f>SUM('Cleaned Data'!L2:L201)</f>
        <v>55795</v>
      </c>
      <c r="C7" s="14"/>
      <c r="D7" s="12"/>
      <c r="E7" s="16">
        <f>SUM('Cleaned Data'!N2:N201)</f>
        <v>25382</v>
      </c>
      <c r="F7" s="14"/>
      <c r="G7" s="12"/>
      <c r="H7" s="17">
        <f>IF(B7=0,0,E7/B7)</f>
        <v>0.45491531499238286</v>
      </c>
      <c r="I7" s="14"/>
      <c r="J7" s="12"/>
      <c r="K7" s="18">
        <f>COUNTA('Cleaned Data'!A2:A201)</f>
        <v>200</v>
      </c>
      <c r="L7" s="14"/>
      <c r="M7" s="12"/>
      <c r="N7" s="12"/>
    </row>
    <row r="8" spans="1:14" x14ac:dyDescent="0.2">
      <c r="A8" s="12"/>
      <c r="B8" s="14"/>
      <c r="C8" s="14"/>
      <c r="D8" s="12"/>
      <c r="E8" s="14"/>
      <c r="F8" s="14"/>
      <c r="G8" s="12"/>
      <c r="H8" s="14"/>
      <c r="I8" s="14"/>
      <c r="J8" s="12"/>
      <c r="K8" s="14"/>
      <c r="L8" s="14"/>
      <c r="M8" s="12"/>
      <c r="N8" s="12"/>
    </row>
    <row r="9" spans="1:14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">
      <c r="A47" s="21" t="s">
        <v>76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x14ac:dyDescent="0.2">
      <c r="A48" s="22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1:14" x14ac:dyDescent="0.2">
      <c r="A49" s="23" t="s">
        <v>78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x14ac:dyDescent="0.2">
      <c r="A50" s="29" t="s">
        <v>79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spans="1:14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x14ac:dyDescent="0.2">
      <c r="A52" s="23" t="s">
        <v>80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x14ac:dyDescent="0.2">
      <c r="A53" s="24" t="s">
        <v>81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">
      <c r="A55" s="23" t="s">
        <v>82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4" x14ac:dyDescent="0.2">
      <c r="A56" s="24" t="s">
        <v>83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 x14ac:dyDescent="0.2">
      <c r="A58" s="23" t="s">
        <v>84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x14ac:dyDescent="0.2">
      <c r="A59" s="20" t="s">
        <v>85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14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</sheetData>
  <mergeCells count="2">
    <mergeCell ref="A1:N2"/>
    <mergeCell ref="A50:N50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2" topLeftCell="A3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23" customWidth="1"/>
    <col min="2" max="2" width="115" customWidth="1"/>
  </cols>
  <sheetData>
    <row r="1" spans="1:2" ht="19" x14ac:dyDescent="0.25">
      <c r="A1" s="4" t="s">
        <v>30</v>
      </c>
      <c r="B1" s="4"/>
    </row>
    <row r="2" spans="1:2" x14ac:dyDescent="0.2">
      <c r="A2" s="5" t="s">
        <v>31</v>
      </c>
      <c r="B2" s="6"/>
    </row>
    <row r="3" spans="1:2" ht="16" x14ac:dyDescent="0.2">
      <c r="A3" s="5" t="s">
        <v>32</v>
      </c>
      <c r="B3" s="6" t="s">
        <v>33</v>
      </c>
    </row>
    <row r="4" spans="1:2" ht="16" x14ac:dyDescent="0.2">
      <c r="A4" s="5" t="s">
        <v>34</v>
      </c>
      <c r="B4" s="6" t="s">
        <v>35</v>
      </c>
    </row>
    <row r="5" spans="1:2" ht="16" x14ac:dyDescent="0.2">
      <c r="A5" s="5" t="s">
        <v>36</v>
      </c>
      <c r="B5" s="6" t="s">
        <v>37</v>
      </c>
    </row>
    <row r="6" spans="1:2" ht="16" x14ac:dyDescent="0.2">
      <c r="A6" s="5" t="s">
        <v>38</v>
      </c>
      <c r="B6" s="6" t="s">
        <v>39</v>
      </c>
    </row>
    <row r="7" spans="1:2" ht="16" x14ac:dyDescent="0.2">
      <c r="A7" s="5" t="s">
        <v>40</v>
      </c>
      <c r="B7" s="6" t="s">
        <v>41</v>
      </c>
    </row>
    <row r="8" spans="1:2" ht="16" x14ac:dyDescent="0.2">
      <c r="A8" s="5" t="s">
        <v>42</v>
      </c>
      <c r="B8" s="6" t="s">
        <v>43</v>
      </c>
    </row>
    <row r="9" spans="1:2" ht="16" x14ac:dyDescent="0.2">
      <c r="A9" s="5" t="s">
        <v>44</v>
      </c>
      <c r="B9" s="6" t="s">
        <v>45</v>
      </c>
    </row>
    <row r="10" spans="1:2" ht="16" x14ac:dyDescent="0.2">
      <c r="A10" s="5" t="s">
        <v>46</v>
      </c>
      <c r="B10" s="6" t="s">
        <v>47</v>
      </c>
    </row>
    <row r="11" spans="1:2" ht="16" x14ac:dyDescent="0.2">
      <c r="A11" s="5" t="s">
        <v>48</v>
      </c>
      <c r="B11" s="6" t="s">
        <v>49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 Data</vt:lpstr>
      <vt:lpstr>Cleaned Data</vt:lpstr>
      <vt:lpstr>Analysis</vt:lpstr>
      <vt:lpstr>Dashboard</vt:lpstr>
      <vt:lpstr>Project Brief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Jethwani Shivnani</cp:lastModifiedBy>
  <dcterms:created xsi:type="dcterms:W3CDTF">2026-10-13T17:43:28Z</dcterms:created>
  <dcterms:modified xsi:type="dcterms:W3CDTF">2026-10-17T11:46:56Z</dcterms:modified>
</cp:coreProperties>
</file>